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Green]&quot;$&quot;#,##0.00;[Red]-&quot;$&quot;#,##0.00"/>
    <numFmt numFmtId="165" formatCode="0.0%"/>
    <numFmt numFmtId="166" formatCode="[Green]&quot;$&quot;#,##0;[Red]-&quot;$&quot;#,##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8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5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58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FINANCIAL MODEL — YEAR 1 OPERATING SNAPSHOT</t>
        </is>
      </c>
    </row>
    <row r="2">
      <c r="A2" t="inlineStr">
        <is>
          <t>AI-Connected Personal Finance App (Direct-to-Consumer Subscription)  |  Snapshot = what one month looks like at Month 12 of Year 1</t>
        </is>
      </c>
    </row>
    <row r="3">
      <c r="A3" t="inlineStr">
        <is>
          <t>REVISED July 2026 — pivoted from Freemium→B2B2C institutional PMPM to a direct-to-consumer paid subscription ($7.99/month, 4-week free trial). See VENTURE.md and unit-economics.md for the full reasoning. Change any shaded input in Section 1 — every formula in Section 2 recalculates automatically.</t>
        </is>
      </c>
    </row>
    <row r="4"/>
    <row r="5">
      <c r="A5" s="2" t="inlineStr">
        <is>
          <t>LINE ITEM</t>
        </is>
      </c>
      <c r="B5" s="2" t="inlineStr">
        <is>
          <t>NOTES / BASIS</t>
        </is>
      </c>
      <c r="C5" s="2" t="inlineStr">
        <is>
          <t>PESSIMISTIC</t>
        </is>
      </c>
      <c r="D5" s="2" t="inlineStr">
        <is>
          <t>BASE CASE</t>
        </is>
      </c>
      <c r="E5" s="2" t="inlineStr">
        <is>
          <t>OPTIMISTIC</t>
        </is>
      </c>
    </row>
    <row r="6">
      <c r="A6" s="3" t="inlineStr">
        <is>
          <t>SECTION 1 — INPUT ASSUMPTIONS   (edit the shaded cells below — do not edit Section 2)</t>
        </is>
      </c>
    </row>
    <row r="7">
      <c r="A7" s="1" t="inlineStr">
        <is>
          <t xml:space="preserve">  REVENUE ASSUMPTIONS</t>
        </is>
      </c>
    </row>
    <row r="8">
      <c r="A8" t="inlineStr">
        <is>
          <t>Subscription price per user/month</t>
        </is>
      </c>
      <c r="B8" s="4" t="inlineStr">
        <is>
          <t>Working price, founder-set. Informed by but not directly tested against this bundled concept (Sunday Summary + self-calibrating budget + multi-account merge + AI chatbot) — Tamara $5–8, Emily ~$10, Dooney $15–20 each reacted to a narrower, different concept. Held constant across scenarios — what varies below is adoption and cost, not price.</t>
        </is>
      </c>
      <c r="C8" s="5" t="n">
        <v>7.99</v>
      </c>
      <c r="D8" s="5" t="n">
        <v>7.99</v>
      </c>
      <c r="E8" s="5" t="n">
        <v>7.99</v>
      </c>
    </row>
    <row r="9">
      <c r="A9" t="inlineStr">
        <is>
          <t>Monthly new free-trial signups (steady state)</t>
        </is>
      </c>
      <c r="B9" s="4" t="inlineStr">
        <is>
          <t>New people starting the 4-week free trial each month, once acquisition is running steadily. ASSUMPTION — no channel experiment in channel-experiments.md has been run yet, so this has zero real data behind it.</t>
        </is>
      </c>
      <c r="C9" t="n">
        <v>40</v>
      </c>
      <c r="D9" t="n">
        <v>100</v>
      </c>
      <c r="E9" t="n">
        <v>300</v>
      </c>
    </row>
    <row r="10">
      <c r="A10" t="inlineStr">
        <is>
          <t>Trial-to-paid conversion rate</t>
        </is>
      </c>
      <c r="B10" s="4" t="inlineStr">
        <is>
          <t>Share of free-trial signups who convert to a paying subscriber at the end of 4 weeks. This is the single biggest unknown in the new model — the direct replacement for "institutional PMPM rate" as the number that determines everything else. ASSUMPTION — zero data exists.</t>
        </is>
      </c>
      <c r="C10" s="6" t="n">
        <v>0.1</v>
      </c>
      <c r="D10" s="6" t="n">
        <v>0.2</v>
      </c>
      <c r="E10" s="6" t="n">
        <v>0.3</v>
      </c>
    </row>
    <row r="11">
      <c r="A11" t="inlineStr">
        <is>
          <t>Paying subscribers at Month 12</t>
        </is>
      </c>
      <c r="B11" s="4" t="inlineStr">
        <is>
          <t>Snapshot of active paying subscribers at the end of Year 1. ASSUMPTION — set directly as a scenario input (not derived), same convention as the prior model’s institutional-user snapshot.</t>
        </is>
      </c>
      <c r="C11" t="n">
        <v>20</v>
      </c>
      <c r="D11" t="n">
        <v>100</v>
      </c>
      <c r="E11" t="n">
        <v>800</v>
      </c>
    </row>
    <row r="12">
      <c r="A12" t="inlineStr">
        <is>
          <t>Free-trial users currently active</t>
        </is>
      </c>
      <c r="B12" s="4" t="inlineStr">
        <is>
          <t>People currently inside their 4-week trial at any given moment. Approximated as one month’s worth of new signups, since the trial runs about a month.</t>
        </is>
      </c>
      <c r="C12">
        <f>C9</f>
        <v/>
      </c>
      <c r="D12">
        <f>D9</f>
        <v/>
      </c>
      <c r="E12">
        <f>E9</f>
        <v/>
      </c>
    </row>
    <row r="13"/>
    <row r="14">
      <c r="A14" t="inlineStr">
        <is>
          <t xml:space="preserve">  VARIABLE COST ASSUMPTIONS  (per connected user per month — identical for trial and paying users; the product is fully functional during the trial)</t>
        </is>
      </c>
    </row>
    <row r="15">
      <c r="A15" t="inlineStr">
        <is>
          <t>Plaid — bank aggregation</t>
        </is>
      </c>
      <c r="B15" s="4" t="inlineStr">
        <is>
          <t>Charged per connected account per month regardless of trial/paid status. Unavoidable given the bank-linked architecture. ASSUMPTION — unchanged from the prior model; request a Plaid pricing call to verify.</t>
        </is>
      </c>
      <c r="C15" s="5" t="n">
        <v>0.6</v>
      </c>
      <c r="D15" s="5" t="n">
        <v>0.45</v>
      </c>
      <c r="E15" s="5" t="n">
        <v>0.35</v>
      </c>
    </row>
    <row r="16">
      <c r="A16" t="inlineStr">
        <is>
          <t>AI / LLM — Sunday Summary generation</t>
        </is>
      </c>
      <c r="B16" s="4" t="inlineStr">
        <is>
          <t>Weekly plain-language summary, ~800 input + 400 output tokens, 4x/month. DATA — based on published token pricing, unchanged from the prior model.</t>
        </is>
      </c>
      <c r="C16" s="5" t="n">
        <v>0.05</v>
      </c>
      <c r="D16" s="5" t="n">
        <v>0.03</v>
      </c>
      <c r="E16" s="5" t="n">
        <v>0.02</v>
      </c>
    </row>
    <row r="17">
      <c r="A17" t="inlineStr">
        <is>
          <t>AI / LLM — chatbot (NEW)</t>
        </is>
      </c>
      <c r="B17" s="4" t="inlineStr">
        <is>
          <t>New cost category from the subscription-pivot conversation. Assumption: ~15 chatbot exchanges/user/month, ~2,000 input + 300 output tokens each (more context than a summary — categorized transactions + budget state). The least-grounded number in this model — revise as soon as the pilot produces real usage data.</t>
        </is>
      </c>
      <c r="C17" s="5" t="n">
        <v>0.4</v>
      </c>
      <c r="D17" s="5" t="n">
        <v>0.25</v>
      </c>
      <c r="E17" s="5" t="n">
        <v>0.15</v>
      </c>
    </row>
    <row r="18">
      <c r="A18" t="inlineStr">
        <is>
          <t>Hosting / infrastructure</t>
        </is>
      </c>
      <c r="B18" s="4" t="inlineStr">
        <is>
          <t>Database storage, compute, API calls per active user/month. ASSUMPTION, unchanged from the prior model.</t>
        </is>
      </c>
      <c r="C18" s="5" t="n">
        <v>0.4</v>
      </c>
      <c r="D18" s="5" t="n">
        <v>0.25</v>
      </c>
      <c r="E18" s="5" t="n">
        <v>0.18</v>
      </c>
    </row>
    <row r="19">
      <c r="A19" t="inlineStr">
        <is>
          <t>Email / push notification delivery</t>
        </is>
      </c>
      <c r="B19" s="4" t="inlineStr">
        <is>
          <t>Sunday push + inbox messages. DATA — transactional pricing, unchanged from the prior model.</t>
        </is>
      </c>
      <c r="C19" s="5" t="n">
        <v>0.02</v>
      </c>
      <c r="D19" s="5" t="n">
        <v>0.01</v>
      </c>
      <c r="E19" s="5" t="n">
        <v>0.01</v>
      </c>
    </row>
    <row r="20">
      <c r="A20" t="inlineStr">
        <is>
          <t>Customer support (founder time)</t>
        </is>
      </c>
      <c r="B20" s="4" t="inlineStr">
        <is>
          <t>Pessimistic: 5% contact rate, 20 min/contact at $15/hr. Base: 3%. Optimistic: 2%. ASSUMPTION, unchanged from the prior model.</t>
        </is>
      </c>
      <c r="C20" s="5" t="n">
        <v>0.25</v>
      </c>
      <c r="D20" s="5" t="n">
        <v>0.15</v>
      </c>
      <c r="E20" s="5" t="n">
        <v>0.1</v>
      </c>
    </row>
    <row r="21">
      <c r="A21" s="1" t="inlineStr">
        <is>
          <t>TOTAL variable cost per user/month</t>
        </is>
      </c>
      <c r="B21" t="inlineStr">
        <is>
          <t>Sum of all per-user costs. Applies identically to every connected user — trial or paying.</t>
        </is>
      </c>
      <c r="C21" s="5">
        <f>SUM(C15:C20)</f>
        <v/>
      </c>
      <c r="D21" s="5">
        <f>SUM(D15:D20)</f>
        <v/>
      </c>
      <c r="E21" s="5">
        <f>SUM(E15:E20)</f>
        <v/>
      </c>
    </row>
    <row r="22"/>
    <row r="23">
      <c r="A23" t="inlineStr">
        <is>
          <t xml:space="preserve">  FIXED COST ASSUMPTIONS  (per month — exist whether you have 1 user or 10,000; unchanged from the prior model, since these don’t depend on the revenue model)</t>
        </is>
      </c>
    </row>
    <row r="24">
      <c r="A24" t="inlineStr">
        <is>
          <t>SOC 2 Type II (amortized monthly)</t>
        </is>
      </c>
      <c r="B24" s="4" t="inlineStr">
        <is>
          <t>Required before storing/serving connected bank data at any real scale. ASSUMPTION — request a Vanta/Drata quote.</t>
        </is>
      </c>
      <c r="C24" s="7" t="n">
        <v>3333</v>
      </c>
      <c r="D24" s="7" t="n">
        <v>2083</v>
      </c>
      <c r="E24" s="7" t="n">
        <v>1250</v>
      </c>
    </row>
    <row r="25">
      <c r="A25" t="inlineStr">
        <is>
          <t>Cyber liability insurance</t>
        </is>
      </c>
      <c r="C25" s="7" t="n">
        <v>500</v>
      </c>
      <c r="D25" s="7" t="n">
        <v>333</v>
      </c>
      <c r="E25" s="7" t="n">
        <v>200</v>
      </c>
    </row>
    <row r="26">
      <c r="A26" t="inlineStr">
        <is>
          <t>E&amp;O / professional liability insurance</t>
        </is>
      </c>
      <c r="C26" s="7" t="n">
        <v>167</v>
      </c>
      <c r="D26" s="7" t="n">
        <v>104</v>
      </c>
      <c r="E26" s="7" t="n">
        <v>60</v>
      </c>
    </row>
    <row r="27">
      <c r="A27" t="inlineStr">
        <is>
          <t>Data privacy legal / attorney retainer</t>
        </is>
      </c>
      <c r="C27" s="7" t="n">
        <v>1500</v>
      </c>
      <c r="D27" s="7" t="n">
        <v>1000</v>
      </c>
      <c r="E27" s="7" t="n">
        <v>600</v>
      </c>
    </row>
    <row r="28">
      <c r="A28" t="inlineStr">
        <is>
          <t>Infrastructure baseline (zero users)</t>
        </is>
      </c>
      <c r="C28" s="7" t="n">
        <v>200</v>
      </c>
      <c r="D28" s="7" t="n">
        <v>150</v>
      </c>
      <c r="E28" s="7" t="n">
        <v>120</v>
      </c>
    </row>
    <row r="29">
      <c r="A29" t="inlineStr">
        <is>
          <t>Software tools (GitHub, Figma, etc.)</t>
        </is>
      </c>
      <c r="C29" s="7" t="n">
        <v>150</v>
      </c>
      <c r="D29" s="7" t="n">
        <v>100</v>
      </c>
      <c r="E29" s="7" t="n">
        <v>80</v>
      </c>
    </row>
    <row r="30">
      <c r="A30" t="inlineStr">
        <is>
          <t>Accounting / bookkeeping</t>
        </is>
      </c>
      <c r="C30" s="7" t="n">
        <v>200</v>
      </c>
      <c r="D30" s="7" t="n">
        <v>150</v>
      </c>
      <c r="E30" s="7" t="n">
        <v>120</v>
      </c>
    </row>
    <row r="31">
      <c r="A31" t="inlineStr">
        <is>
          <t>Email service base fee</t>
        </is>
      </c>
      <c r="C31" s="7" t="n">
        <v>20</v>
      </c>
      <c r="D31" s="7" t="n">
        <v>15</v>
      </c>
      <c r="E31" s="7" t="n">
        <v>12</v>
      </c>
    </row>
    <row r="32">
      <c r="A32" t="inlineStr">
        <is>
          <t>Backup / data retention</t>
        </is>
      </c>
      <c r="C32" s="7" t="n">
        <v>40</v>
      </c>
      <c r="D32" s="7" t="n">
        <v>30</v>
      </c>
      <c r="E32" s="7" t="n">
        <v>25</v>
      </c>
    </row>
    <row r="33">
      <c r="A33" t="inlineStr">
        <is>
          <t>Business banking fees</t>
        </is>
      </c>
      <c r="C33" s="7" t="n">
        <v>20</v>
      </c>
      <c r="D33" s="7" t="n">
        <v>15</v>
      </c>
      <c r="E33" s="7" t="n">
        <v>10</v>
      </c>
    </row>
    <row r="34">
      <c r="A34" s="1" t="inlineStr">
        <is>
          <t>TOTAL fixed costs/month</t>
        </is>
      </c>
      <c r="C34" s="7">
        <f>SUM(C24:C33)</f>
        <v/>
      </c>
      <c r="D34" s="7">
        <f>SUM(D24:D33)</f>
        <v/>
      </c>
      <c r="E34" s="7">
        <f>SUM(E24:E33)</f>
        <v/>
      </c>
    </row>
    <row r="35"/>
    <row r="36">
      <c r="A36" t="inlineStr">
        <is>
          <t xml:space="preserve">  FOUNDER TIME  (real cost even when unpaid — it is runway consumed)</t>
        </is>
      </c>
    </row>
    <row r="37">
      <c r="A37" t="inlineStr">
        <is>
          <t>Founder hours per week</t>
        </is>
      </c>
      <c r="C37" t="n">
        <v>50</v>
      </c>
      <c r="D37" t="n">
        <v>40</v>
      </c>
      <c r="E37" t="n">
        <v>40</v>
      </c>
    </row>
    <row r="38">
      <c r="A38" t="inlineStr">
        <is>
          <t>Founder hourly rate ($)</t>
        </is>
      </c>
      <c r="C38" t="n">
        <v>15</v>
      </c>
      <c r="D38" t="n">
        <v>15</v>
      </c>
      <c r="E38" t="n">
        <v>15</v>
      </c>
    </row>
    <row r="39">
      <c r="A39" t="inlineStr">
        <is>
          <t>Founder time cost per month</t>
        </is>
      </c>
      <c r="B39" t="inlineStr">
        <is>
          <t>Hours/week × 4.33 weeks/month × hourly rate.</t>
        </is>
      </c>
      <c r="C39" s="7">
        <f>C37*4.33*C38</f>
        <v/>
      </c>
      <c r="D39" s="7">
        <f>D37*4.33*D38</f>
        <v/>
      </c>
      <c r="E39" s="7">
        <f>E37*4.33*E38</f>
        <v/>
      </c>
    </row>
    <row r="40"/>
    <row r="41">
      <c r="A41" s="1" t="inlineStr">
        <is>
          <t>TOTAL MONTHLY OVERHEAD (fixed + founder time)</t>
        </is>
      </c>
      <c r="C41" s="7">
        <f>C34+C39</f>
        <v/>
      </c>
      <c r="D41" s="7">
        <f>D34+D39</f>
        <v/>
      </c>
      <c r="E41" s="7">
        <f>E34+E39</f>
        <v/>
      </c>
    </row>
    <row r="42"/>
    <row r="43">
      <c r="A43" s="3" t="inlineStr">
        <is>
          <t>SECTION 2 — SCENARIO MODEL   (all cells are formulas — change Section 1 inputs to update everything)</t>
        </is>
      </c>
    </row>
    <row r="44">
      <c r="A44" t="inlineStr">
        <is>
          <t xml:space="preserve">  REVENUE</t>
        </is>
      </c>
    </row>
    <row r="45">
      <c r="A45" t="inlineStr">
        <is>
          <t>Subscription revenue</t>
        </is>
      </c>
      <c r="B45" t="inlineStr">
        <is>
          <t>Subscription price × paying subscribers. Free-trial users generate $0 by design.</t>
        </is>
      </c>
      <c r="C45" s="7">
        <f>C8*C11</f>
        <v/>
      </c>
      <c r="D45" s="7">
        <f>D8*D11</f>
        <v/>
      </c>
      <c r="E45" s="7">
        <f>E8*E11</f>
        <v/>
      </c>
    </row>
    <row r="46">
      <c r="A46" s="1" t="inlineStr">
        <is>
          <t>TOTAL MONTHLY REVENUE</t>
        </is>
      </c>
      <c r="C46" s="7">
        <f>C45</f>
        <v/>
      </c>
      <c r="D46" s="7">
        <f>D45</f>
        <v/>
      </c>
      <c r="E46" s="7">
        <f>E45</f>
        <v/>
      </c>
    </row>
    <row r="47"/>
    <row r="48">
      <c r="A48" t="inlineStr">
        <is>
          <t xml:space="preserve">  VARIABLE COSTS — PAYING SUBSCRIBERS</t>
        </is>
      </c>
    </row>
    <row r="49">
      <c r="A49" t="inlineStr">
        <is>
          <t>Plaid — subscribers</t>
        </is>
      </c>
      <c r="C49" s="7">
        <f>C15*C11</f>
        <v/>
      </c>
      <c r="D49" s="7">
        <f>D15*D11</f>
        <v/>
      </c>
      <c r="E49" s="7">
        <f>E15*E11</f>
        <v/>
      </c>
    </row>
    <row r="50">
      <c r="A50" t="inlineStr">
        <is>
          <t>AI Summary — subscribers</t>
        </is>
      </c>
      <c r="C50" s="7">
        <f>C16*C11</f>
        <v/>
      </c>
      <c r="D50" s="7">
        <f>D16*D11</f>
        <v/>
      </c>
      <c r="E50" s="7">
        <f>E16*E11</f>
        <v/>
      </c>
    </row>
    <row r="51">
      <c r="A51" t="inlineStr">
        <is>
          <t>AI Chatbot — subscribers</t>
        </is>
      </c>
      <c r="C51" s="7">
        <f>C17*C11</f>
        <v/>
      </c>
      <c r="D51" s="7">
        <f>D17*D11</f>
        <v/>
      </c>
      <c r="E51" s="7">
        <f>E17*E11</f>
        <v/>
      </c>
    </row>
    <row r="52">
      <c r="A52" t="inlineStr">
        <is>
          <t>Hosting — subscribers</t>
        </is>
      </c>
      <c r="C52" s="7">
        <f>C18*C11</f>
        <v/>
      </c>
      <c r="D52" s="7">
        <f>D18*D11</f>
        <v/>
      </c>
      <c r="E52" s="7">
        <f>E18*E11</f>
        <v/>
      </c>
    </row>
    <row r="53">
      <c r="A53" t="inlineStr">
        <is>
          <t>Email — subscribers</t>
        </is>
      </c>
      <c r="C53" s="7">
        <f>C19*C11</f>
        <v/>
      </c>
      <c r="D53" s="7">
        <f>D19*D11</f>
        <v/>
      </c>
      <c r="E53" s="7">
        <f>E19*E11</f>
        <v/>
      </c>
    </row>
    <row r="54">
      <c r="A54" t="inlineStr">
        <is>
          <t>Support — subscribers</t>
        </is>
      </c>
      <c r="C54" s="7">
        <f>C20*C11</f>
        <v/>
      </c>
      <c r="D54" s="7">
        <f>D20*D11</f>
        <v/>
      </c>
      <c r="E54" s="7">
        <f>E20*E11</f>
        <v/>
      </c>
    </row>
    <row r="55"/>
    <row r="56">
      <c r="A56" t="inlineStr">
        <is>
          <t xml:space="preserve">  VARIABLE COSTS — FREE-TRIAL USERS  (temporary drag, not indefinite — they convert or leave after 4 weeks)</t>
        </is>
      </c>
    </row>
    <row r="57">
      <c r="A57" t="inlineStr">
        <is>
          <t>Plaid — trial</t>
        </is>
      </c>
      <c r="C57" s="7">
        <f>C15*C12</f>
        <v/>
      </c>
      <c r="D57" s="7">
        <f>D15*D12</f>
        <v/>
      </c>
      <c r="E57" s="7">
        <f>E15*E12</f>
        <v/>
      </c>
    </row>
    <row r="58">
      <c r="A58" t="inlineStr">
        <is>
          <t>AI Summary — trial</t>
        </is>
      </c>
      <c r="C58" s="7">
        <f>C16*C12</f>
        <v/>
      </c>
      <c r="D58" s="7">
        <f>D16*D12</f>
        <v/>
      </c>
      <c r="E58" s="7">
        <f>E16*E12</f>
        <v/>
      </c>
    </row>
    <row r="59">
      <c r="A59" t="inlineStr">
        <is>
          <t>AI Chatbot — trial</t>
        </is>
      </c>
      <c r="C59" s="7">
        <f>C17*C12</f>
        <v/>
      </c>
      <c r="D59" s="7">
        <f>D17*D12</f>
        <v/>
      </c>
      <c r="E59" s="7">
        <f>E17*E12</f>
        <v/>
      </c>
    </row>
    <row r="60">
      <c r="A60" t="inlineStr">
        <is>
          <t>Hosting — trial</t>
        </is>
      </c>
      <c r="C60" s="7">
        <f>C18*C12</f>
        <v/>
      </c>
      <c r="D60" s="7">
        <f>D18*D12</f>
        <v/>
      </c>
      <c r="E60" s="7">
        <f>E18*E12</f>
        <v/>
      </c>
    </row>
    <row r="61">
      <c r="A61" t="inlineStr">
        <is>
          <t>Email — trial</t>
        </is>
      </c>
      <c r="C61" s="7">
        <f>C19*C12</f>
        <v/>
      </c>
      <c r="D61" s="7">
        <f>D19*D12</f>
        <v/>
      </c>
      <c r="E61" s="7">
        <f>E19*E12</f>
        <v/>
      </c>
    </row>
    <row r="62">
      <c r="A62" t="inlineStr">
        <is>
          <t>Support — trial</t>
        </is>
      </c>
      <c r="C62" s="7">
        <f>C20*C12</f>
        <v/>
      </c>
      <c r="D62" s="7">
        <f>D20*D12</f>
        <v/>
      </c>
      <c r="E62" s="7">
        <f>E20*E12</f>
        <v/>
      </c>
    </row>
    <row r="63">
      <c r="A63" s="1" t="inlineStr">
        <is>
          <t>TOTAL free-trial drag (monthly)</t>
        </is>
      </c>
      <c r="C63" s="7">
        <f>SUM(C57:C62)</f>
        <v/>
      </c>
      <c r="D63" s="7">
        <f>SUM(D57:D62)</f>
        <v/>
      </c>
      <c r="E63" s="7">
        <f>SUM(E57:E62)</f>
        <v/>
      </c>
    </row>
    <row r="64"/>
    <row r="65">
      <c r="A65" s="1" t="inlineStr">
        <is>
          <t>TOTAL VARIABLE COSTS (subscribers + trial)</t>
        </is>
      </c>
      <c r="C65" s="7">
        <f>SUM(C49:C54)+C63</f>
        <v/>
      </c>
      <c r="D65" s="7">
        <f>SUM(D49:D54)+D63</f>
        <v/>
      </c>
      <c r="E65" s="7">
        <f>SUM(E49:E54)+E63</f>
        <v/>
      </c>
    </row>
    <row r="66"/>
    <row r="67">
      <c r="A67" t="inlineStr">
        <is>
          <t xml:space="preserve">  GROSS PROFIT</t>
        </is>
      </c>
    </row>
    <row r="68">
      <c r="A68" t="inlineStr">
        <is>
          <t>Gross profit</t>
        </is>
      </c>
      <c r="B68" t="inlineStr">
        <is>
          <t>Revenue minus variable costs only. Does NOT include fixed costs or founder time.</t>
        </is>
      </c>
      <c r="C68" s="7">
        <f>C46-C65</f>
        <v/>
      </c>
      <c r="D68" s="7">
        <f>D46-D65</f>
        <v/>
      </c>
      <c r="E68" s="7">
        <f>E46-E65</f>
        <v/>
      </c>
    </row>
    <row r="69">
      <c r="A69" t="inlineStr">
        <is>
          <t>Gross margin %</t>
        </is>
      </c>
      <c r="C69" s="6">
        <f>IF(C46=0,"—",C68/C46)</f>
        <v/>
      </c>
      <c r="D69" s="6">
        <f>IF(D46=0,"—",D68/D46)</f>
        <v/>
      </c>
      <c r="E69" s="6">
        <f>IF(E46=0,"—",E68/E46)</f>
        <v/>
      </c>
    </row>
    <row r="70"/>
    <row r="71">
      <c r="A71" t="inlineStr">
        <is>
          <t>Total fixed costs (referenced)</t>
        </is>
      </c>
      <c r="C71" s="7">
        <f>C34</f>
        <v/>
      </c>
      <c r="D71" s="7">
        <f>D34</f>
        <v/>
      </c>
      <c r="E71" s="7">
        <f>E34</f>
        <v/>
      </c>
    </row>
    <row r="72">
      <c r="A72" t="inlineStr">
        <is>
          <t>Founder time cost (referenced)</t>
        </is>
      </c>
      <c r="C72" s="7">
        <f>C39</f>
        <v/>
      </c>
      <c r="D72" s="7">
        <f>D39</f>
        <v/>
      </c>
      <c r="E72" s="7">
        <f>E39</f>
        <v/>
      </c>
    </row>
    <row r="73"/>
    <row r="74">
      <c r="A74" s="1" t="inlineStr">
        <is>
          <t>TOTAL MONTHLY COSTS</t>
        </is>
      </c>
      <c r="C74" s="7">
        <f>C65+C71+C72</f>
        <v/>
      </c>
      <c r="D74" s="7">
        <f>D65+D71+D72</f>
        <v/>
      </c>
      <c r="E74" s="7">
        <f>E65+E71+E72</f>
        <v/>
      </c>
    </row>
    <row r="75"/>
    <row r="76">
      <c r="A76" s="1" t="inlineStr">
        <is>
          <t>BOTTOM LINE</t>
        </is>
      </c>
    </row>
    <row r="77">
      <c r="A77" s="1" t="inlineStr">
        <is>
          <t>NET MONTHLY INCOME / (LOSS)</t>
        </is>
      </c>
      <c r="C77" s="7">
        <f>C46-C74</f>
        <v/>
      </c>
      <c r="D77" s="7">
        <f>D46-D74</f>
        <v/>
      </c>
      <c r="E77" s="7">
        <f>E46-E74</f>
        <v/>
      </c>
    </row>
    <row r="78">
      <c r="A78" t="inlineStr">
        <is>
          <t>Annualized run rate (Month 12 × 12)</t>
        </is>
      </c>
      <c r="C78" s="7">
        <f>C77*12</f>
        <v/>
      </c>
      <c r="D78" s="7">
        <f>D77*12</f>
        <v/>
      </c>
      <c r="E78" s="7">
        <f>E77*12</f>
        <v/>
      </c>
    </row>
    <row r="79"/>
    <row r="80">
      <c r="A80" s="1" t="inlineStr">
        <is>
          <t>BREAK-EVEN ANALYSIS</t>
        </is>
      </c>
    </row>
    <row r="81">
      <c r="A81" t="inlineStr">
        <is>
          <t>Contribution margin per paying subscriber</t>
        </is>
      </c>
      <c r="B81" t="inlineStr">
        <is>
          <t>Subscription price minus total variable cost per user.</t>
        </is>
      </c>
      <c r="C81" s="5">
        <f>C8-C21</f>
        <v/>
      </c>
      <c r="D81" s="5">
        <f>D8-D21</f>
        <v/>
      </c>
      <c r="E81" s="5">
        <f>E8-E21</f>
        <v/>
      </c>
    </row>
    <row r="82">
      <c r="A82" t="inlineStr">
        <is>
          <t>Monthly overhead (fixed + founder)</t>
        </is>
      </c>
      <c r="C82" s="7">
        <f>C41</f>
        <v/>
      </c>
      <c r="D82" s="7">
        <f>D41</f>
        <v/>
      </c>
      <c r="E82" s="7">
        <f>E41</f>
        <v/>
      </c>
    </row>
    <row r="83">
      <c r="A83" t="inlineStr">
        <is>
          <t>Paying subscribers needed to break even</t>
        </is>
      </c>
      <c r="C83">
        <f>IFERROR(CEILING(C82/C81,1),"—")</f>
        <v/>
      </c>
      <c r="D83">
        <f>IFERROR(CEILING(D82/D81,1),"—")</f>
        <v/>
      </c>
      <c r="E83">
        <f>IFERROR(CEILING(E82/E81,1),"—")</f>
        <v/>
      </c>
    </row>
    <row r="84">
      <c r="A84" t="inlineStr">
        <is>
          <t>Paying subscribers at Month 12 (this scenario)</t>
        </is>
      </c>
      <c r="C84">
        <f>C11</f>
        <v/>
      </c>
      <c r="D84">
        <f>D11</f>
        <v/>
      </c>
      <c r="E84">
        <f>E11</f>
        <v/>
      </c>
    </row>
    <row r="85">
      <c r="A85" t="inlineStr">
        <is>
          <t>Subscribers still needed to reach break-even</t>
        </is>
      </c>
      <c r="C85">
        <f>MAX(0,C83-C84)</f>
        <v/>
      </c>
      <c r="D85">
        <f>MAX(0,D83-D84)</f>
        <v/>
      </c>
      <c r="E85">
        <f>MAX(0,E83-E84)</f>
        <v/>
      </c>
    </row>
    <row r="86">
      <c r="A86" t="inlineStr">
        <is>
          <t>Net new paying subscribers per month (at current conversion rate)</t>
        </is>
      </c>
      <c r="B86" s="4" t="inlineStr">
        <is>
          <t>Monthly new trial signups × conversion rate. The subscription-model replacement for "contracts signed per quarter."</t>
        </is>
      </c>
      <c r="C86">
        <f>C9*C10</f>
        <v/>
      </c>
      <c r="D86">
        <f>D9*D10</f>
        <v/>
      </c>
      <c r="E86">
        <f>E9*E10</f>
        <v/>
      </c>
    </row>
    <row r="87">
      <c r="A87" t="inlineStr">
        <is>
          <t>Months to close the break-even gap at current acquisition rate</t>
        </is>
      </c>
      <c r="C87">
        <f>IFERROR(IF(C85=0,0,CEILING(C85/C86,1)),"—")</f>
        <v/>
      </c>
      <c r="D87">
        <f>IFERROR(IF(D85=0,0,CEILING(D85/D86,1)),"—")</f>
        <v/>
      </c>
      <c r="E87">
        <f>IFERROR(IF(E85=0,0,CEILING(E85/E86,1)),"—")</f>
        <v/>
      </c>
    </row>
    <row r="88"/>
    <row r="89">
      <c r="A89" s="1" t="inlineStr">
        <is>
          <t>WHAT BREAKS THIS MODEL — AND WHAT SWINGS IT MOST</t>
        </is>
      </c>
    </row>
    <row r="90">
      <c r="A90" t="inlineStr">
        <is>
          <t>Single variable with the most swing</t>
        </is>
      </c>
      <c r="B90" s="4" t="inlineStr">
        <is>
          <t>TRIAL-TO-PAID CONVERSION RATE. Moving from 10% (pessimistic) to 30% (optimistic) at the same signup volume swings the number of paying subscribers by 3x. This is the direct replacement for "institutional user count" as the most sensitive lever — and unlike the old model, it has literally zero data behind it yet.</t>
        </is>
      </c>
    </row>
    <row r="91">
      <c r="A91" t="inlineStr">
        <is>
          <t>What breaks the model (primary structural failure)</t>
        </is>
      </c>
      <c r="B91" s="4" t="inlineStr">
        <is>
          <t>CONVERSION AND RETENTION, not sales-cycle timing. The old B2B2C model’s risk was a slow, bounded institutional sales cycle (6–18 months, an industry norm). Direct-to-consumer subscription has no equivalent bound — conversion rate could be 5% or 50%, and nothing in this project’s evidence base says which.</t>
        </is>
      </c>
    </row>
    <row r="92">
      <c r="A92" t="inlineStr">
        <is>
          <t>Second most dangerous variable</t>
        </is>
      </c>
      <c r="B92" s="4" t="inlineStr">
        <is>
          <t>CHATBOT AI COST. Estimated at $0.25/user/month with zero real usage data. If people use the chatbot like a general AI assistant rather than a narrow money-questions tool, this cost could grow well past what’s modeled here.</t>
        </is>
      </c>
    </row>
    <row r="93">
      <c r="A93" t="inlineStr">
        <is>
          <t>What most shortens the path</t>
        </is>
      </c>
      <c r="B93" s="4" t="inlineStr">
        <is>
          <t>PROVING TRIAL-TO-PAID CONVERSION WITH THE PILOT GROUP. A real conversion number from even a handful of guinea pigs replaces the single biggest guess in this model — the same way one institutional buyer conversation would have replaced the old model’s biggest guess.</t>
        </is>
      </c>
    </row>
    <row r="94"/>
    <row r="95">
      <c r="A95" s="3" t="inlineStr">
        <is>
          <t>STRESS TEST — ACTUAL PILOT SCALE  (25 guinea pigs in the free trial, base-case conversion rate, 20% annual subscriber churn)</t>
        </is>
      </c>
    </row>
    <row r="96">
      <c r="A96" t="inlineStr">
        <is>
          <t>This models the real near-term plan — a small trusted pilot, not steady-state acquisition — against the base-case cost and conversion assumptions from Section 1, column D.</t>
        </is>
      </c>
    </row>
    <row r="97"/>
    <row r="98">
      <c r="A98" s="2" t="inlineStr">
        <is>
          <t>LINE ITEM</t>
        </is>
      </c>
      <c r="B98" s="2" t="inlineStr">
        <is>
          <t>NOTES</t>
        </is>
      </c>
      <c r="C98" s="2" t="inlineStr">
        <is>
          <t>VALUE</t>
        </is>
      </c>
    </row>
    <row r="99">
      <c r="A99" t="inlineStr">
        <is>
          <t>Guinea pigs in free trial</t>
        </is>
      </c>
      <c r="C99" t="n">
        <v>25</v>
      </c>
    </row>
    <row r="100">
      <c r="A100" t="inlineStr">
        <is>
          <t>Base-case trial-to-paid conversion rate (referenced)</t>
        </is>
      </c>
      <c r="C100" s="6">
        <f>D10</f>
        <v/>
      </c>
    </row>
    <row r="101">
      <c r="A101" t="inlineStr">
        <is>
          <t>Converted paying subscribers (before churn)</t>
        </is>
      </c>
      <c r="C101">
        <f>C99*C100</f>
        <v/>
      </c>
    </row>
    <row r="102">
      <c r="A102" t="inlineStr">
        <is>
          <t>Annual subscriber churn rate</t>
        </is>
      </c>
      <c r="C102" s="6" t="n">
        <v>0.2</v>
      </c>
    </row>
    <row r="103">
      <c r="A103" t="inlineStr">
        <is>
          <t>Effective paying subscribers (after churn)</t>
        </is>
      </c>
      <c r="C103">
        <f>C101*(1-C102)</f>
        <v/>
      </c>
    </row>
    <row r="104"/>
    <row r="105">
      <c r="A105" t="inlineStr">
        <is>
          <t>Subscription revenue</t>
        </is>
      </c>
      <c r="C105" s="5">
        <f>D8*C103</f>
        <v/>
      </c>
    </row>
    <row r="106">
      <c r="A106" t="inlineStr">
        <is>
          <t>Variable cost — paying subscribers</t>
        </is>
      </c>
      <c r="C106" s="5">
        <f>D21*C103</f>
        <v/>
      </c>
    </row>
    <row r="107">
      <c r="A107" t="inlineStr">
        <is>
          <t>Variable cost — trial users (all 25, full drag)</t>
        </is>
      </c>
      <c r="C107" s="5">
        <f>D21*C99</f>
        <v/>
      </c>
    </row>
    <row r="108">
      <c r="A108" t="inlineStr">
        <is>
          <t>Total variable costs</t>
        </is>
      </c>
      <c r="C108" s="5">
        <f>C106+C107</f>
        <v/>
      </c>
    </row>
    <row r="109">
      <c r="A109" t="inlineStr">
        <is>
          <t>Fixed costs + founder time (base case, referenced)</t>
        </is>
      </c>
      <c r="C109" s="7">
        <f>D41</f>
        <v/>
      </c>
    </row>
    <row r="110">
      <c r="A110" s="1" t="inlineStr">
        <is>
          <t>TOTAL MONTHLY COSTS</t>
        </is>
      </c>
      <c r="C110" s="7">
        <f>C108+C109</f>
        <v/>
      </c>
    </row>
    <row r="111">
      <c r="A111" s="1" t="inlineStr">
        <is>
          <t>NET MONTHLY INCOME / (LOSS)</t>
        </is>
      </c>
      <c r="C111" s="7">
        <f>C105-C110</f>
        <v/>
      </c>
    </row>
    <row r="112"/>
    <row r="113">
      <c r="A113" s="1" t="inlineStr">
        <is>
          <t>WHAT THIS SCENARIO MEANS</t>
        </is>
      </c>
    </row>
    <row r="114">
      <c r="A114" t="inlineStr">
        <is>
          <t>The honest read on the pilot</t>
        </is>
      </c>
      <c r="B114" s="4" t="inlineStr">
        <is>
          <t>At true pilot scale — 25 guinea pigs, even at the base-case 20% conversion rate — the model produces roughly 4 effective paying subscribers against $6,578/month in fixed overhead and founder time. The pilot is not meant to move this number. Its job is to produce the one number this entire model is missing: a real trial-to-paid conversion rate. Overhead at this stage is essentially a fixed cost of finding that out, not something the pilot is expected to cover.</t>
        </is>
      </c>
    </row>
    <row r="115">
      <c r="A115" t="inlineStr">
        <is>
          <t>What would actually change the picture</t>
        </is>
      </c>
      <c r="B115" s="4" t="inlineStr">
        <is>
          <t>Conversion rate, more than anything else. At the pessimistic 10% conversion rate applied to steady-state acquisition (Section 1, column C), break-even requires roughly 1,496 subscribers — effectively unreachable without a much larger acquisition engine. At the optimistic 30% rate (column E), 800 subscribers already clears break-even by Month 12. The gap between those two scenarios is entirely the conversion rate — acquisition volume assumptions move in the same direction across all three scenarios.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2026-07-15T00:19:01Z</dcterms:created>
  <dcterms:modified xmlns:dcterms="http://purl.org/dc/terms/" xmlns:xsi="http://www.w3.org/2001/XMLSchema-instance" xsi:type="dcterms:W3CDTF">2026-07-15T00:19:01Z</dcterms:modified>
</cp:coreProperties>
</file>