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ncial Model" sheetId="1" state="visible" r:id="rId1"/>
  </sheets>
  <definedNames/>
  <calcPr calcId="124519" fullCalcOnLoad="1"/>
</workbook>
</file>

<file path=xl/styles.xml><?xml version="1.0" encoding="utf-8"?>
<styleSheet xmlns="http://schemas.openxmlformats.org/spreadsheetml/2006/main">
  <numFmts count="4">
    <numFmt numFmtId="164" formatCode="&quot;$&quot;#,##0.00"/>
    <numFmt numFmtId="165" formatCode="&quot;$&quot;#,##0"/>
    <numFmt numFmtId="166" formatCode="[Green]&quot;$&quot;#,##0;[Red]-&quot;$&quot;#,##0"/>
    <numFmt numFmtId="167" formatCode="0.0%"/>
  </numFmts>
  <fonts count="15">
    <font>
      <name val="Calibri"/>
      <family val="2"/>
      <color theme="1"/>
      <sz val="11"/>
      <scheme val="minor"/>
    </font>
    <font>
      <b val="1"/>
      <color rgb="00FFFFFF"/>
      <sz val="14"/>
    </font>
    <font>
      <i val="1"/>
      <color rgb="00FFFFFF"/>
      <sz val="9"/>
    </font>
    <font>
      <i val="1"/>
      <color rgb="00000000"/>
      <sz val="9"/>
    </font>
    <font>
      <b val="1"/>
      <color rgb="00000000"/>
      <sz val="10"/>
    </font>
    <font>
      <b val="1"/>
      <color rgb="007B0000"/>
      <sz val="10"/>
    </font>
    <font>
      <b val="1"/>
      <color rgb="00614100"/>
      <sz val="10"/>
    </font>
    <font>
      <b val="1"/>
      <color rgb="001E4620"/>
      <sz val="10"/>
    </font>
    <font>
      <b val="1"/>
      <color rgb="00FFFFFF"/>
      <sz val="11"/>
    </font>
    <font>
      <color rgb="00000000"/>
      <sz val="10"/>
    </font>
    <font>
      <color rgb="00000000"/>
      <sz val="9"/>
    </font>
    <font>
      <color rgb="00FFFFFF"/>
      <sz val="9"/>
    </font>
    <font>
      <b val="1"/>
      <color rgb="009C0006"/>
      <sz val="10"/>
    </font>
    <font>
      <b val="1"/>
      <color rgb="00FFFFFF"/>
      <sz val="12"/>
    </font>
    <font>
      <b val="1"/>
      <color rgb="00000000"/>
      <sz val="13"/>
    </font>
  </fonts>
  <fills count="21">
    <fill>
      <patternFill/>
    </fill>
    <fill>
      <patternFill patternType="gray125"/>
    </fill>
    <fill>
      <patternFill patternType="solid">
        <fgColor rgb="001F4E79"/>
      </patternFill>
    </fill>
    <fill>
      <patternFill patternType="solid">
        <fgColor rgb="00D9D9D9"/>
      </patternFill>
    </fill>
    <fill>
      <patternFill patternType="solid">
        <fgColor rgb="00FF7B7B"/>
      </patternFill>
    </fill>
    <fill>
      <patternFill patternType="solid">
        <fgColor rgb="00FFD966"/>
      </patternFill>
    </fill>
    <fill>
      <patternFill patternType="solid">
        <fgColor rgb="0070AD47"/>
      </patternFill>
    </fill>
    <fill>
      <patternFill patternType="solid">
        <fgColor rgb="002F2F2F"/>
      </patternFill>
    </fill>
    <fill>
      <patternFill patternType="solid">
        <fgColor rgb="00BDD7EE"/>
      </patternFill>
    </fill>
    <fill>
      <patternFill patternType="solid">
        <fgColor rgb="00FAFAFA"/>
      </patternFill>
    </fill>
    <fill>
      <patternFill patternType="solid">
        <fgColor rgb="00FFD7D7"/>
      </patternFill>
    </fill>
    <fill>
      <patternFill patternType="solid">
        <fgColor rgb="00FFF2CC"/>
      </patternFill>
    </fill>
    <fill>
      <patternFill patternType="solid">
        <fgColor rgb="00E2EFDA"/>
      </patternFill>
    </fill>
    <fill>
      <patternFill patternType="solid">
        <fgColor rgb="00262626"/>
      </patternFill>
    </fill>
    <fill>
      <patternFill patternType="solid">
        <fgColor rgb="00FFC7CE"/>
      </patternFill>
    </fill>
    <fill>
      <patternFill patternType="solid">
        <fgColor rgb="001A1A1A"/>
      </patternFill>
    </fill>
    <fill>
      <patternFill patternType="solid">
        <fgColor rgb="00C00000"/>
      </patternFill>
    </fill>
    <fill>
      <patternFill patternType="solid">
        <fgColor rgb="00FFFDE7"/>
      </patternFill>
    </fill>
    <fill>
      <patternFill patternType="solid">
        <fgColor rgb="007B2C2C"/>
      </patternFill>
    </fill>
    <fill>
      <patternFill patternType="solid">
        <fgColor rgb="00F9ECEC"/>
      </patternFill>
    </fill>
    <fill>
      <patternFill patternType="solid">
        <fgColor rgb="00FFB3B3"/>
      </patternFill>
    </fill>
  </fills>
  <borders count="1">
    <border>
      <left/>
      <right/>
      <top/>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applyAlignment="1" pivotButton="0" quotePrefix="0" xfId="0">
      <alignment horizontal="center" vertical="center"/>
    </xf>
    <xf numFmtId="0" fontId="4" fillId="3" borderId="0" applyAlignment="1" pivotButton="0" quotePrefix="0" xfId="0">
      <alignment horizontal="left" vertical="center"/>
    </xf>
    <xf numFmtId="0" fontId="5" fillId="4" borderId="0" applyAlignment="1" pivotButton="0" quotePrefix="0" xfId="0">
      <alignment horizontal="center" vertical="center"/>
    </xf>
    <xf numFmtId="0" fontId="6" fillId="5" borderId="0" applyAlignment="1" pivotButton="0" quotePrefix="0" xfId="0">
      <alignment horizontal="center" vertical="center"/>
    </xf>
    <xf numFmtId="0" fontId="7" fillId="6" borderId="0" applyAlignment="1" pivotButton="0" quotePrefix="0" xfId="0">
      <alignment horizontal="center" vertical="center"/>
    </xf>
    <xf numFmtId="0" fontId="8" fillId="7" borderId="0" applyAlignment="1" pivotButton="0" quotePrefix="0" xfId="0">
      <alignment horizontal="left" vertical="center"/>
    </xf>
    <xf numFmtId="0" fontId="4" fillId="8" borderId="0" applyAlignment="1" pivotButton="0" quotePrefix="0" xfId="0">
      <alignment horizontal="left" vertical="center"/>
    </xf>
    <xf numFmtId="0" fontId="9" fillId="0" borderId="0" applyAlignment="1" pivotButton="0" quotePrefix="0" xfId="0">
      <alignment horizontal="left" vertical="center"/>
    </xf>
    <xf numFmtId="0" fontId="10" fillId="9" borderId="0" applyAlignment="1" pivotButton="0" quotePrefix="0" xfId="0">
      <alignment horizontal="left" vertical="center" wrapText="1"/>
    </xf>
    <xf numFmtId="164" fontId="9" fillId="10" borderId="0" applyAlignment="1" pivotButton="0" quotePrefix="0" xfId="0">
      <alignment horizontal="center" vertical="center"/>
    </xf>
    <xf numFmtId="164" fontId="9" fillId="11" borderId="0" applyAlignment="1" pivotButton="0" quotePrefix="0" xfId="0">
      <alignment horizontal="center" vertical="center"/>
    </xf>
    <xf numFmtId="164" fontId="9" fillId="12" borderId="0" applyAlignment="1" pivotButton="0" quotePrefix="0" xfId="0">
      <alignment horizontal="center" vertical="center"/>
    </xf>
    <xf numFmtId="3" fontId="9" fillId="10" borderId="0" applyAlignment="1" pivotButton="0" quotePrefix="0" xfId="0">
      <alignment horizontal="center" vertical="center"/>
    </xf>
    <xf numFmtId="3" fontId="9" fillId="11" borderId="0" applyAlignment="1" pivotButton="0" quotePrefix="0" xfId="0">
      <alignment horizontal="center" vertical="center"/>
    </xf>
    <xf numFmtId="3" fontId="9" fillId="12" borderId="0" applyAlignment="1" pivotButton="0" quotePrefix="0" xfId="0">
      <alignment horizontal="center" vertical="center"/>
    </xf>
    <xf numFmtId="0" fontId="4" fillId="0" borderId="0" applyAlignment="1" pivotButton="0" quotePrefix="0" xfId="0">
      <alignment horizontal="left" vertical="center"/>
    </xf>
    <xf numFmtId="0" fontId="10" fillId="3" borderId="0" applyAlignment="1" pivotButton="0" quotePrefix="0" xfId="0">
      <alignment horizontal="left" vertical="center" wrapText="1"/>
    </xf>
    <xf numFmtId="164" fontId="4" fillId="10" borderId="0" applyAlignment="1" pivotButton="0" quotePrefix="0" xfId="0">
      <alignment horizontal="center" vertical="center"/>
    </xf>
    <xf numFmtId="164" fontId="4" fillId="11" borderId="0" applyAlignment="1" pivotButton="0" quotePrefix="0" xfId="0">
      <alignment horizontal="center" vertical="center"/>
    </xf>
    <xf numFmtId="164" fontId="4" fillId="12" borderId="0" applyAlignment="1" pivotButton="0" quotePrefix="0" xfId="0">
      <alignment horizontal="center" vertical="center"/>
    </xf>
    <xf numFmtId="165" fontId="9" fillId="10" borderId="0" applyAlignment="1" pivotButton="0" quotePrefix="0" xfId="0">
      <alignment horizontal="center" vertical="center"/>
    </xf>
    <xf numFmtId="165" fontId="9" fillId="11" borderId="0" applyAlignment="1" pivotButton="0" quotePrefix="0" xfId="0">
      <alignment horizontal="center" vertical="center"/>
    </xf>
    <xf numFmtId="165" fontId="9" fillId="12" borderId="0" applyAlignment="1" pivotButton="0" quotePrefix="0" xfId="0">
      <alignment horizontal="center" vertical="center"/>
    </xf>
    <xf numFmtId="165" fontId="4" fillId="10" borderId="0" applyAlignment="1" pivotButton="0" quotePrefix="0" xfId="0">
      <alignment horizontal="center" vertical="center"/>
    </xf>
    <xf numFmtId="165" fontId="4" fillId="11" borderId="0" applyAlignment="1" pivotButton="0" quotePrefix="0" xfId="0">
      <alignment horizontal="center" vertical="center"/>
    </xf>
    <xf numFmtId="165" fontId="4" fillId="12" borderId="0" applyAlignment="1" pivotButton="0" quotePrefix="0" xfId="0">
      <alignment horizontal="center" vertical="center"/>
    </xf>
    <xf numFmtId="0" fontId="8" fillId="13" borderId="0" applyAlignment="1" pivotButton="0" quotePrefix="0" xfId="0">
      <alignment horizontal="left" vertical="center"/>
    </xf>
    <xf numFmtId="0" fontId="11" fillId="13" borderId="0" applyAlignment="1" pivotButton="0" quotePrefix="0" xfId="0">
      <alignment horizontal="left" vertical="center" wrapText="1"/>
    </xf>
    <xf numFmtId="165" fontId="8" fillId="13" borderId="0" applyAlignment="1" pivotButton="0" quotePrefix="0" xfId="0">
      <alignment horizontal="center" vertical="center"/>
    </xf>
    <xf numFmtId="0" fontId="4" fillId="14" borderId="0" applyAlignment="1" pivotButton="0" quotePrefix="0" xfId="0">
      <alignment horizontal="left" vertical="center"/>
    </xf>
    <xf numFmtId="165" fontId="9" fillId="14" borderId="0" applyAlignment="1" pivotButton="0" quotePrefix="0" xfId="0">
      <alignment horizontal="center" vertical="center"/>
    </xf>
    <xf numFmtId="0" fontId="10" fillId="14" borderId="0" applyAlignment="1" pivotButton="0" quotePrefix="0" xfId="0">
      <alignment horizontal="left" vertical="center" wrapText="1"/>
    </xf>
    <xf numFmtId="165" fontId="12" fillId="14" borderId="0" applyAlignment="1" pivotButton="0" quotePrefix="0" xfId="0">
      <alignment horizontal="center" vertical="center"/>
    </xf>
    <xf numFmtId="166" fontId="9" fillId="10" borderId="0" applyAlignment="1" pivotButton="0" quotePrefix="0" xfId="0">
      <alignment horizontal="center" vertical="center"/>
    </xf>
    <xf numFmtId="166" fontId="9" fillId="11" borderId="0" applyAlignment="1" pivotButton="0" quotePrefix="0" xfId="0">
      <alignment horizontal="center" vertical="center"/>
    </xf>
    <xf numFmtId="166" fontId="9" fillId="12" borderId="0" applyAlignment="1" pivotButton="0" quotePrefix="0" xfId="0">
      <alignment horizontal="center" vertical="center"/>
    </xf>
    <xf numFmtId="167" fontId="9" fillId="10" borderId="0" applyAlignment="1" pivotButton="0" quotePrefix="0" xfId="0">
      <alignment horizontal="center" vertical="center"/>
    </xf>
    <xf numFmtId="167" fontId="9" fillId="11" borderId="0" applyAlignment="1" pivotButton="0" quotePrefix="0" xfId="0">
      <alignment horizontal="center" vertical="center"/>
    </xf>
    <xf numFmtId="167" fontId="9" fillId="12" borderId="0" applyAlignment="1" pivotButton="0" quotePrefix="0" xfId="0">
      <alignment horizontal="center" vertical="center"/>
    </xf>
    <xf numFmtId="0" fontId="13" fillId="15" borderId="0" applyAlignment="1" pivotButton="0" quotePrefix="0" xfId="0">
      <alignment horizontal="left" vertical="center"/>
    </xf>
    <xf numFmtId="0" fontId="11" fillId="15" borderId="0" applyAlignment="1" pivotButton="0" quotePrefix="0" xfId="0">
      <alignment horizontal="left" vertical="center" wrapText="1"/>
    </xf>
    <xf numFmtId="165" fontId="13" fillId="15" borderId="0" applyAlignment="1" pivotButton="0" quotePrefix="0" xfId="0">
      <alignment horizontal="center" vertical="center"/>
    </xf>
    <xf numFmtId="0" fontId="8" fillId="2" borderId="0" applyAlignment="1" pivotButton="0" quotePrefix="0" xfId="0">
      <alignment horizontal="left" vertical="center"/>
    </xf>
    <xf numFmtId="0" fontId="14" fillId="0" borderId="0" applyAlignment="1" pivotButton="0" quotePrefix="0" xfId="0">
      <alignment horizontal="left" vertical="center"/>
    </xf>
    <xf numFmtId="166" fontId="14" fillId="10" borderId="0" applyAlignment="1" pivotButton="0" quotePrefix="0" xfId="0">
      <alignment horizontal="center" vertical="center"/>
    </xf>
    <xf numFmtId="166" fontId="14" fillId="11" borderId="0" applyAlignment="1" pivotButton="0" quotePrefix="0" xfId="0">
      <alignment horizontal="center" vertical="center"/>
    </xf>
    <xf numFmtId="166" fontId="14" fillId="12" borderId="0" applyAlignment="1" pivotButton="0" quotePrefix="0" xfId="0">
      <alignment horizontal="center" vertical="center"/>
    </xf>
    <xf numFmtId="3" fontId="4" fillId="10" borderId="0" applyAlignment="1" pivotButton="0" quotePrefix="0" xfId="0">
      <alignment horizontal="center" vertical="center"/>
    </xf>
    <xf numFmtId="3" fontId="4" fillId="11" borderId="0" applyAlignment="1" pivotButton="0" quotePrefix="0" xfId="0">
      <alignment horizontal="center" vertical="center"/>
    </xf>
    <xf numFmtId="3" fontId="4" fillId="12" borderId="0" applyAlignment="1" pivotButton="0" quotePrefix="0" xfId="0">
      <alignment horizontal="center" vertical="center"/>
    </xf>
    <xf numFmtId="0" fontId="13" fillId="16" borderId="0" applyAlignment="1" pivotButton="0" quotePrefix="0" xfId="0">
      <alignment horizontal="left" vertical="center"/>
    </xf>
    <xf numFmtId="0" fontId="4" fillId="11" borderId="0" applyAlignment="1" pivotButton="0" quotePrefix="0" xfId="0">
      <alignment horizontal="left" vertical="center" wrapText="1"/>
    </xf>
    <xf numFmtId="0" fontId="10" fillId="17" borderId="0" applyAlignment="1" pivotButton="0" quotePrefix="0" xfId="0">
      <alignment horizontal="left" vertical="center" wrapText="1"/>
    </xf>
    <xf numFmtId="0" fontId="10" fillId="9" borderId="0" applyAlignment="1" pivotButton="0" quotePrefix="0" xfId="0">
      <alignment vertical="center" wrapText="1"/>
    </xf>
    <xf numFmtId="0" fontId="13" fillId="18" borderId="0" applyAlignment="1" pivotButton="0" quotePrefix="0" xfId="0">
      <alignment horizontal="left" vertical="center"/>
    </xf>
    <xf numFmtId="0" fontId="3" fillId="19" borderId="0" applyAlignment="1" pivotButton="0" quotePrefix="0" xfId="0">
      <alignment horizontal="left" vertical="center"/>
    </xf>
    <xf numFmtId="0" fontId="4" fillId="3" borderId="0" applyAlignment="1" pivotButton="0" quotePrefix="0" xfId="0">
      <alignment horizontal="left" vertical="center"/>
    </xf>
    <xf numFmtId="0" fontId="6" fillId="11" borderId="0" applyAlignment="1" pivotButton="0" quotePrefix="0" xfId="0">
      <alignment horizontal="center" vertical="center"/>
    </xf>
    <xf numFmtId="0" fontId="5" fillId="10" borderId="0" applyAlignment="1" pivotButton="0" quotePrefix="0" xfId="0">
      <alignment horizontal="center" vertical="center"/>
    </xf>
    <xf numFmtId="0" fontId="7" fillId="12" borderId="0" applyAlignment="1" pivotButton="0" quotePrefix="0" xfId="0">
      <alignment horizontal="center" vertical="center"/>
    </xf>
    <xf numFmtId="0" fontId="4" fillId="8" borderId="0" applyAlignment="1" pivotButton="0" quotePrefix="0" xfId="0">
      <alignment horizontal="left" vertical="center"/>
    </xf>
    <xf numFmtId="0" fontId="9" fillId="0" borderId="0" applyAlignment="1" pivotButton="0" quotePrefix="0" xfId="0">
      <alignment horizontal="left" vertical="center"/>
    </xf>
    <xf numFmtId="167" fontId="9" fillId="11" borderId="0" applyAlignment="1" pivotButton="0" quotePrefix="0" xfId="0">
      <alignment horizontal="center" vertical="center"/>
    </xf>
    <xf numFmtId="167" fontId="9" fillId="10" borderId="0" applyAlignment="1" pivotButton="0" quotePrefix="0" xfId="0">
      <alignment horizontal="center" vertical="center"/>
    </xf>
    <xf numFmtId="167" fontId="9" fillId="12" borderId="0" applyAlignment="1" pivotButton="0" quotePrefix="0" xfId="0">
      <alignment horizontal="center" vertical="center"/>
    </xf>
    <xf numFmtId="3" fontId="9" fillId="11" borderId="0" applyAlignment="1" pivotButton="0" quotePrefix="0" xfId="0">
      <alignment horizontal="center" vertical="center"/>
    </xf>
    <xf numFmtId="3" fontId="9" fillId="10" borderId="0" applyAlignment="1" pivotButton="0" quotePrefix="0" xfId="0">
      <alignment horizontal="center" vertical="center"/>
    </xf>
    <xf numFmtId="3" fontId="9" fillId="12" borderId="0" applyAlignment="1" pivotButton="0" quotePrefix="0" xfId="0">
      <alignment horizontal="center" vertical="center"/>
    </xf>
    <xf numFmtId="0" fontId="4" fillId="0" borderId="0" applyAlignment="1" pivotButton="0" quotePrefix="0" xfId="0">
      <alignment horizontal="left" vertical="center"/>
    </xf>
    <xf numFmtId="3" fontId="4" fillId="11" borderId="0" applyAlignment="1" pivotButton="0" quotePrefix="0" xfId="0">
      <alignment horizontal="center" vertical="center"/>
    </xf>
    <xf numFmtId="3" fontId="4" fillId="10" borderId="0" applyAlignment="1" pivotButton="0" quotePrefix="0" xfId="0">
      <alignment horizontal="center" vertical="center"/>
    </xf>
    <xf numFmtId="3" fontId="4" fillId="12" borderId="0" applyAlignment="1" pivotButton="0" quotePrefix="0" xfId="0">
      <alignment horizontal="center" vertical="center"/>
    </xf>
    <xf numFmtId="165" fontId="4" fillId="11" borderId="0" applyAlignment="1" pivotButton="0" quotePrefix="0" xfId="0">
      <alignment horizontal="center" vertical="center"/>
    </xf>
    <xf numFmtId="165" fontId="4" fillId="10" borderId="0" applyAlignment="1" pivotButton="0" quotePrefix="0" xfId="0">
      <alignment horizontal="center" vertical="center"/>
    </xf>
    <xf numFmtId="166" fontId="4" fillId="12" borderId="0" applyAlignment="1" pivotButton="0" quotePrefix="0" xfId="0">
      <alignment horizontal="center" vertical="center"/>
    </xf>
    <xf numFmtId="165" fontId="9" fillId="11" borderId="0" applyAlignment="1" pivotButton="0" quotePrefix="0" xfId="0">
      <alignment horizontal="center" vertical="center"/>
    </xf>
    <xf numFmtId="165" fontId="9" fillId="10" borderId="0" applyAlignment="1" pivotButton="0" quotePrefix="0" xfId="0">
      <alignment horizontal="center" vertical="center"/>
    </xf>
    <xf numFmtId="166" fontId="9" fillId="12" borderId="0" applyAlignment="1" pivotButton="0" quotePrefix="0" xfId="0">
      <alignment horizontal="center" vertical="center"/>
    </xf>
    <xf numFmtId="165" fontId="9" fillId="12" borderId="0" applyAlignment="1" pivotButton="0" quotePrefix="0" xfId="0">
      <alignment horizontal="center" vertical="center"/>
    </xf>
    <xf numFmtId="0" fontId="8" fillId="15" borderId="0" applyAlignment="1" pivotButton="0" quotePrefix="0" xfId="0">
      <alignment horizontal="left" vertical="center"/>
    </xf>
    <xf numFmtId="165" fontId="8" fillId="15" borderId="0" applyAlignment="1" pivotButton="0" quotePrefix="0" xfId="0">
      <alignment horizontal="center" vertical="center"/>
    </xf>
    <xf numFmtId="166" fontId="8" fillId="15" borderId="0" applyAlignment="1" pivotButton="0" quotePrefix="0" xfId="0">
      <alignment horizontal="center" vertical="center"/>
    </xf>
    <xf numFmtId="0" fontId="14" fillId="0" borderId="0" applyAlignment="1" pivotButton="0" quotePrefix="0" xfId="0">
      <alignment horizontal="left" vertical="center"/>
    </xf>
    <xf numFmtId="166" fontId="14" fillId="11" borderId="0" applyAlignment="1" pivotButton="0" quotePrefix="0" xfId="0">
      <alignment horizontal="center" vertical="center"/>
    </xf>
    <xf numFmtId="166" fontId="14" fillId="10" borderId="0" applyAlignment="1" pivotButton="0" quotePrefix="0" xfId="0">
      <alignment horizontal="center" vertical="center"/>
    </xf>
    <xf numFmtId="166" fontId="14" fillId="12" borderId="0" applyAlignment="1" pivotButton="0" quotePrefix="0" xfId="0">
      <alignment horizontal="center" vertical="center"/>
    </xf>
    <xf numFmtId="166" fontId="9" fillId="11" borderId="0" applyAlignment="1" pivotButton="0" quotePrefix="0" xfId="0">
      <alignment horizontal="center" vertical="center"/>
    </xf>
    <xf numFmtId="166" fontId="9" fillId="10" borderId="0" applyAlignment="1" pivotButton="0" quotePrefix="0" xfId="0">
      <alignment horizontal="center" vertical="center"/>
    </xf>
    <xf numFmtId="0" fontId="4" fillId="20" borderId="0" applyAlignment="1" pivotButton="0" quotePrefix="0" xfId="0">
      <alignment horizontal="left" vertical="center"/>
    </xf>
    <xf numFmtId="164" fontId="9" fillId="11" borderId="0" applyAlignment="1" pivotButton="0" quotePrefix="0" xfId="0">
      <alignment horizontal="center" vertical="center"/>
    </xf>
    <xf numFmtId="164" fontId="9" fillId="10" borderId="0" applyAlignment="1" pivotButton="0" quotePrefix="0" xfId="0">
      <alignment horizontal="center" vertical="center"/>
    </xf>
    <xf numFmtId="164" fontId="9" fillId="12" borderId="0" applyAlignment="1" pivotButton="0" quotePrefix="0" xfId="0">
      <alignment horizontal="center" vertical="center"/>
    </xf>
    <xf numFmtId="0" fontId="8" fillId="18"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58" customWidth="1" min="2" max="2"/>
    <col width="17" customWidth="1" min="3" max="3"/>
    <col width="17" customWidth="1" min="4" max="4"/>
    <col width="17" customWidth="1" min="5" max="5"/>
  </cols>
  <sheetData>
    <row r="1" ht="26" customHeight="1">
      <c r="A1" s="1" t="inlineStr">
        <is>
          <t>FINANCIAL MODEL — YEAR 1 OPERATING SNAPSHOT</t>
        </is>
      </c>
    </row>
    <row r="2" ht="16" customHeight="1">
      <c r="A2" s="2" t="inlineStr">
        <is>
          <t>AI-Connected Personal Finance Tool for Recent Graduates  |  Snapshot = what one month looks like at Month 12 of Year 1</t>
        </is>
      </c>
    </row>
    <row r="3" ht="14" customHeight="1">
      <c r="A3" s="3" t="inlineStr">
        <is>
          <t>Change any shaded input in Section 1 — every formula in Section 2 recalculates automatically.</t>
        </is>
      </c>
    </row>
    <row r="4" ht="6" customHeight="1"/>
    <row r="5" ht="20" customHeight="1">
      <c r="A5" s="4" t="inlineStr">
        <is>
          <t>LINE ITEM</t>
        </is>
      </c>
      <c r="B5" s="4" t="inlineStr">
        <is>
          <t>NOTES / BASIS</t>
        </is>
      </c>
      <c r="C5" s="5" t="inlineStr">
        <is>
          <t>PESSIMISTIC</t>
        </is>
      </c>
      <c r="D5" s="6" t="inlineStr">
        <is>
          <t>BASE CASE (revised)</t>
        </is>
      </c>
      <c r="E5" s="7" t="inlineStr">
        <is>
          <t>OPTIMISTIC</t>
        </is>
      </c>
    </row>
    <row r="6" ht="22" customHeight="1">
      <c r="A6" s="8" t="inlineStr">
        <is>
          <t>SECTION 1 — INPUT ASSUMPTIONS   (edit the shaded cells below — do not edit Section 2)</t>
        </is>
      </c>
    </row>
    <row r="7" ht="16" customHeight="1">
      <c r="A7" s="9" t="inlineStr">
        <is>
          <t xml:space="preserve">  REVENUE ASSUMPTIONS</t>
        </is>
      </c>
    </row>
    <row r="8" ht="48" customHeight="1">
      <c r="A8" s="10" t="inlineStr">
        <is>
          <t>Institutional PMPM rate</t>
        </is>
      </c>
      <c r="B8" s="11" t="inlineStr">
        <is>
          <t>Revenue per user/month from an employer or university contract. Pessimistic = university low-end ($3). Base = mid-market employer ($6). Optimistic = premium employer ($10). ASSUMPTION — no buyer has named a price yet. One call to an HR benefits buyer replaces this.</t>
        </is>
      </c>
      <c r="C8" s="12" t="n">
        <v>3</v>
      </c>
      <c r="D8" s="13" t="n">
        <v>3</v>
      </c>
      <c r="E8" s="14" t="n">
        <v>10</v>
      </c>
    </row>
    <row r="9" ht="60" customHeight="1">
      <c r="A9" s="10" t="inlineStr">
        <is>
          <t>Institutional users at Month 12</t>
        </is>
      </c>
      <c r="B9" s="56" t="inlineStr">
        <is>
          <t>Total paying users under active employer/university contracts at end of Year 1. REVISED: 1 contract (200 users). Institutional sales cycles are 6–18 months; no buyer has been contacted yet, making 2 contracts by Month 12 optimistic. NOTE: churn reduces effective paying users — see Stress Test section.</t>
        </is>
      </c>
      <c r="C9" s="15" t="n">
        <v>100</v>
      </c>
      <c r="D9" s="16" t="n">
        <v>200</v>
      </c>
      <c r="E9" s="17" t="n">
        <v>800</v>
      </c>
    </row>
    <row r="10" ht="60" customHeight="1">
      <c r="A10" s="10" t="inlineStr">
        <is>
          <t>Institutional contracts signed by Month 12</t>
        </is>
      </c>
      <c r="B10" s="56" t="inlineStr">
        <is>
          <t>Contracts signed by Month 12. REVISED: 1. With no institutional outreach started and 6–18 month sales cycles, closing 2 contracts in Year 1 assumed prior access or warm intros that do not yet exist.</t>
        </is>
      </c>
      <c r="C10" s="15" t="n">
        <v>1</v>
      </c>
      <c r="D10" s="16" t="n">
        <v>1</v>
      </c>
      <c r="E10" s="17" t="n">
        <v>4</v>
      </c>
    </row>
    <row r="11" ht="48" customHeight="1">
      <c r="A11" s="10" t="inlineStr">
        <is>
          <t>Free consumer users at Month 12</t>
        </is>
      </c>
      <c r="B11" s="11" t="inlineStr">
        <is>
          <t>Total free-tier users at end of Year 1. These generate $0 revenue but cost money to serve. Necessary to prove engagement to institutional buyers — but they burn runway. ASSUMPTION.</t>
        </is>
      </c>
      <c r="C11" s="15" t="n">
        <v>150</v>
      </c>
      <c r="D11" s="16" t="n">
        <v>500</v>
      </c>
      <c r="E11" s="17" t="n">
        <v>1200</v>
      </c>
    </row>
    <row r="12" ht="6" customHeight="1"/>
    <row r="13" ht="16" customHeight="1">
      <c r="A13" s="9" t="inlineStr">
        <is>
          <t xml:space="preserve">  VARIABLE COST ASSUMPTIONS  (per connected user per month — applies to ALL users, free and paying)</t>
        </is>
      </c>
    </row>
    <row r="14" ht="48" customHeight="1">
      <c r="A14" s="10" t="inlineStr">
        <is>
          <t>Plaid — bank aggregation</t>
        </is>
      </c>
      <c r="B14" s="11" t="inlineStr">
        <is>
          <t>Charged per connected account per month, regardless of activity or revenue. Unavoidable if the product connects to bank accounts. Pessimistic uses high-end estimate. Optimistic assumes negotiated startup rate. ASSUMPTION — request a Plaid pricing call to verify.</t>
        </is>
      </c>
      <c r="C14" s="12" t="n">
        <v>0.6</v>
      </c>
      <c r="D14" s="13" t="n">
        <v>0.45</v>
      </c>
      <c r="E14" s="14" t="n">
        <v>0.35</v>
      </c>
    </row>
    <row r="15" ht="48" customHeight="1">
      <c r="A15" s="10" t="inlineStr">
        <is>
          <t>AI / LLM API</t>
        </is>
      </c>
      <c r="B15" s="11" t="inlineStr">
        <is>
          <t>Token cost for generating weekly spending summaries. ~800 input + 400 output tokens × 4 summaries/month. Based on published API token pricing. Not a meaningful cost driver at this scale.</t>
        </is>
      </c>
      <c r="C15" s="12" t="n">
        <v>0.05</v>
      </c>
      <c r="D15" s="13" t="n">
        <v>0.03</v>
      </c>
      <c r="E15" s="14" t="n">
        <v>0.02</v>
      </c>
    </row>
    <row r="16" ht="48" customHeight="1">
      <c r="A16" s="10" t="inlineStr">
        <is>
          <t>Hosting / infrastructure</t>
        </is>
      </c>
      <c r="B16" s="11" t="inlineStr">
        <is>
          <t>Database storage, server compute, API calls per active user/month. Drops at scale with reserved-instance pricing. ASSUMPTION.</t>
        </is>
      </c>
      <c r="C16" s="12" t="n">
        <v>0.4</v>
      </c>
      <c r="D16" s="13" t="n">
        <v>0.25</v>
      </c>
      <c r="E16" s="14" t="n">
        <v>0.18</v>
      </c>
    </row>
    <row r="17" ht="48" customHeight="1">
      <c r="A17" s="10" t="inlineStr">
        <is>
          <t>Email delivery (transactional)</t>
        </is>
      </c>
      <c r="B17" s="11" t="inlineStr">
        <is>
          <t>Per-email cost for weekly summaries via SendGrid or equivalent. ~4 emails/month per user. Based on published transactional email pricing.</t>
        </is>
      </c>
      <c r="C17" s="12" t="n">
        <v>0.02</v>
      </c>
      <c r="D17" s="13" t="n">
        <v>0.01</v>
      </c>
      <c r="E17" s="14" t="n">
        <v>0.01</v>
      </c>
    </row>
    <row r="18" ht="48" customHeight="1">
      <c r="A18" s="10" t="inlineStr">
        <is>
          <t>Customer support (founder time)</t>
        </is>
      </c>
      <c r="B18" s="11" t="inlineStr">
        <is>
          <t>Pessimistic: 5% contact rate, 20 min/contact at $15/hr. Base: 3% rate. Optimistic: 2%. ASSUMPTION — track actual to revise.</t>
        </is>
      </c>
      <c r="C18" s="12" t="n">
        <v>0.25</v>
      </c>
      <c r="D18" s="13" t="n">
        <v>0.15</v>
      </c>
      <c r="E18" s="14" t="n">
        <v>0.1</v>
      </c>
    </row>
    <row r="19" ht="22" customHeight="1">
      <c r="A19" s="18" t="inlineStr">
        <is>
          <t>TOTAL variable cost per user/month</t>
        </is>
      </c>
      <c r="B19" s="19" t="inlineStr">
        <is>
          <t>Sum of all per-user costs. Applies to every connected user — free and institutional alike.</t>
        </is>
      </c>
      <c r="C19" s="20">
        <f>C14+C15+C16+C17+C18</f>
        <v/>
      </c>
      <c r="D19" s="21">
        <f>D14+D15+D16+D17+D18</f>
        <v/>
      </c>
      <c r="E19" s="22">
        <f>E14+E15+E16+E17+E18</f>
        <v/>
      </c>
    </row>
    <row r="20" ht="6" customHeight="1"/>
    <row r="21" ht="16" customHeight="1">
      <c r="A21" s="9" t="inlineStr">
        <is>
          <t xml:space="preserve">  FIXED COST ASSUMPTIONS  (per month — exist whether you have 1 user or 10,000)</t>
        </is>
      </c>
    </row>
    <row r="22" ht="48" customHeight="1">
      <c r="A22" s="10" t="inlineStr">
        <is>
          <t>SOC 2 Type II (amortized monthly)</t>
        </is>
      </c>
      <c r="B22" s="11" t="inlineStr">
        <is>
          <t>Annual audit cost ÷ 12. Required before any institutional buyer will sign. Range $15K–$40K/year depending on scope and auditor. ASSUMPTION — request a quote from Vanta or Drata (30-min call).</t>
        </is>
      </c>
      <c r="C22" s="23" t="n">
        <v>3333</v>
      </c>
      <c r="D22" s="24" t="n">
        <v>2083</v>
      </c>
      <c r="E22" s="25" t="n">
        <v>1250</v>
      </c>
    </row>
    <row r="23" ht="48" customHeight="1">
      <c r="A23" s="10" t="inlineStr">
        <is>
          <t>Cyber liability insurance</t>
        </is>
      </c>
      <c r="B23" s="11" t="inlineStr">
        <is>
          <t>Annual premium ÷ 12. Required for any fintech product handling bank-linked financial data. ASSUMPTION.</t>
        </is>
      </c>
      <c r="C23" s="23" t="n">
        <v>500</v>
      </c>
      <c r="D23" s="24" t="n">
        <v>333</v>
      </c>
      <c r="E23" s="25" t="n">
        <v>200</v>
      </c>
    </row>
    <row r="24" ht="48" customHeight="1">
      <c r="A24" s="10" t="inlineStr">
        <is>
          <t>E&amp;O / professional liability insurance</t>
        </is>
      </c>
      <c r="B24" s="11" t="inlineStr">
        <is>
          <t>Errors &amp; omissions coverage. Required for a product providing financial guidance or analysis. Commonly missing from early-stage fintech models — added after cost audit. ASSUMPTION.</t>
        </is>
      </c>
      <c r="C24" s="23" t="n">
        <v>167</v>
      </c>
      <c r="D24" s="24" t="n">
        <v>104</v>
      </c>
      <c r="E24" s="25" t="n">
        <v>60</v>
      </c>
    </row>
    <row r="25" ht="48" customHeight="1">
      <c r="A25" s="10" t="inlineStr">
        <is>
          <t>Data privacy legal / attorney retainer</t>
        </is>
      </c>
      <c r="B25" s="11" t="inlineStr">
        <is>
          <t>Ongoing counsel for privacy policy, terms of service, data handling compliance, and institutional contract review. Required before handling bank data. ASSUMPTION.</t>
        </is>
      </c>
      <c r="C25" s="23" t="n">
        <v>1500</v>
      </c>
      <c r="D25" s="24" t="n">
        <v>1000</v>
      </c>
      <c r="E25" s="25" t="n">
        <v>600</v>
      </c>
    </row>
    <row r="26" ht="48" customHeight="1">
      <c r="A26" s="10" t="inlineStr">
        <is>
          <t>Infrastructure baseline (zero users)</t>
        </is>
      </c>
      <c r="B26" s="11" t="inlineStr">
        <is>
          <t>Minimum hosting costs even with no users — databases, CI/CD, monitoring, domain, SSL. ASSUMPTION.</t>
        </is>
      </c>
      <c r="C26" s="23" t="n">
        <v>200</v>
      </c>
      <c r="D26" s="24" t="n">
        <v>150</v>
      </c>
      <c r="E26" s="25" t="n">
        <v>120</v>
      </c>
    </row>
    <row r="27" ht="48" customHeight="1">
      <c r="A27" s="10" t="inlineStr">
        <is>
          <t>Software tools (GitHub, Figma, Slack, etc.)</t>
        </is>
      </c>
      <c r="B27" s="11" t="inlineStr">
        <is>
          <t>Version control, design, communication, project management. Every business runs on SaaS. Missing from original model — added after cost audit.</t>
        </is>
      </c>
      <c r="C27" s="23" t="n">
        <v>150</v>
      </c>
      <c r="D27" s="24" t="n">
        <v>100</v>
      </c>
      <c r="E27" s="25" t="n">
        <v>80</v>
      </c>
    </row>
    <row r="28" ht="48" customHeight="1">
      <c r="A28" s="10" t="inlineStr">
        <is>
          <t>Accounting / bookkeeping</t>
        </is>
      </c>
      <c r="B28" s="11" t="inlineStr">
        <is>
          <t>Required once institutional invoices exist. Tax prep, invoicing, expense tracking. Missing from original model — added after audit.</t>
        </is>
      </c>
      <c r="C28" s="23" t="n">
        <v>200</v>
      </c>
      <c r="D28" s="24" t="n">
        <v>150</v>
      </c>
      <c r="E28" s="25" t="n">
        <v>120</v>
      </c>
    </row>
    <row r="29" ht="48" customHeight="1">
      <c r="A29" s="10" t="inlineStr">
        <is>
          <t>Email service base fee</t>
        </is>
      </c>
      <c r="B29" s="11" t="inlineStr">
        <is>
          <t>Fixed platform fee (SendGrid, etc.) before per-email transactional charges. Added after audit.</t>
        </is>
      </c>
      <c r="C29" s="23" t="n">
        <v>20</v>
      </c>
      <c r="D29" s="24" t="n">
        <v>15</v>
      </c>
      <c r="E29" s="25" t="n">
        <v>12</v>
      </c>
    </row>
    <row r="30" ht="48" customHeight="1">
      <c r="A30" s="10" t="inlineStr">
        <is>
          <t>Backup / data retention</t>
        </is>
      </c>
      <c r="B30" s="11" t="inlineStr">
        <is>
          <t>Financial data requires reliable backup schedules and retention policies — a regulatory expectation for fintech products. Added after audit.</t>
        </is>
      </c>
      <c r="C30" s="23" t="n">
        <v>40</v>
      </c>
      <c r="D30" s="24" t="n">
        <v>30</v>
      </c>
      <c r="E30" s="25" t="n">
        <v>25</v>
      </c>
    </row>
    <row r="31" ht="48" customHeight="1">
      <c r="A31" s="10" t="inlineStr">
        <is>
          <t>Business banking fees</t>
        </is>
      </c>
      <c r="B31" s="11" t="inlineStr">
        <is>
          <t>Monthly fee for business checking account — required to receive institutional invoice payments via ACH. Added after audit.</t>
        </is>
      </c>
      <c r="C31" s="23" t="n">
        <v>20</v>
      </c>
      <c r="D31" s="24" t="n">
        <v>15</v>
      </c>
      <c r="E31" s="25" t="n">
        <v>10</v>
      </c>
    </row>
    <row r="32" ht="22" customHeight="1">
      <c r="A32" s="18" t="inlineStr">
        <is>
          <t>TOTAL fixed costs/month</t>
        </is>
      </c>
      <c r="B32" s="19" t="inlineStr">
        <is>
          <t>Sum of all fixed costs. These exist regardless of user count and must be covered by contribution margin before you break even.</t>
        </is>
      </c>
      <c r="C32" s="26">
        <f>C22+C23+C24+C25+C26+C27+C28+C29+C30+C31</f>
        <v/>
      </c>
      <c r="D32" s="27">
        <f>D22+D23+D24+D25+D26+D27+D28+D29+D30+D31</f>
        <v/>
      </c>
      <c r="E32" s="28">
        <f>E22+E23+E24+E25+E26+E27+E28+E29+E30+E31</f>
        <v/>
      </c>
    </row>
    <row r="33" ht="6" customHeight="1"/>
    <row r="34" ht="16" customHeight="1">
      <c r="A34" s="9" t="inlineStr">
        <is>
          <t xml:space="preserve">  FOUNDER TIME  (real cost even when unpaid — it is runway consumed)</t>
        </is>
      </c>
    </row>
    <row r="35" ht="48" customHeight="1">
      <c r="A35" s="10" t="inlineStr">
        <is>
          <t>Founder hours per week</t>
        </is>
      </c>
      <c r="B35" s="11" t="inlineStr">
        <is>
          <t>Weekly hours across product, sales, compliance, support, and content. Pessimistic is higher because harder problems take more time. ASSUMPTION — track actual hours for two weeks and revise.</t>
        </is>
      </c>
      <c r="C35" s="15" t="n">
        <v>50</v>
      </c>
      <c r="D35" s="16" t="n">
        <v>40</v>
      </c>
      <c r="E35" s="17" t="n">
        <v>40</v>
      </c>
    </row>
    <row r="36" ht="48" customHeight="1">
      <c r="A36" s="10" t="inlineStr">
        <is>
          <t>Founder hourly rate ($)</t>
        </is>
      </c>
      <c r="B36" s="11" t="inlineStr">
        <is>
          <t>Opportunity cost of founder time. $15/hr is the rate established in the unit-economics model. Constant across scenarios — the rate does not change, only the hours.</t>
        </is>
      </c>
      <c r="C36" s="12" t="n">
        <v>15</v>
      </c>
      <c r="D36" s="13" t="n">
        <v>15</v>
      </c>
      <c r="E36" s="14" t="n">
        <v>15</v>
      </c>
    </row>
    <row r="37" ht="22" customHeight="1">
      <c r="A37" s="18" t="inlineStr">
        <is>
          <t>Founder time cost per month</t>
        </is>
      </c>
      <c r="B37" s="19" t="inlineStr">
        <is>
          <t>Hours/week × 4.33 weeks/month × hourly rate. At small user counts this is the single largest cost in the model — larger than all fixed costs combined in the pessimistic scenario.</t>
        </is>
      </c>
      <c r="C37" s="26">
        <f>C35*4.33*C36</f>
        <v/>
      </c>
      <c r="D37" s="27">
        <f>D35*4.33*D36</f>
        <v/>
      </c>
      <c r="E37" s="28">
        <f>E35*4.33*E36</f>
        <v/>
      </c>
    </row>
    <row r="38" ht="6" customHeight="1"/>
    <row r="39" ht="22" customHeight="1">
      <c r="A39" s="29" t="inlineStr">
        <is>
          <t>TOTAL MONTHLY OVERHEAD (fixed + founder time)</t>
        </is>
      </c>
      <c r="B39" s="30" t="inlineStr">
        <is>
          <t>The floor you must clear every month with contribution margin from paying users. Does not shrink if you lose a user.</t>
        </is>
      </c>
      <c r="C39" s="31">
        <f>C32+C37</f>
        <v/>
      </c>
      <c r="D39" s="31">
        <f>D32+D37</f>
        <v/>
      </c>
      <c r="E39" s="31">
        <f>E32+E37</f>
        <v/>
      </c>
    </row>
    <row r="40" ht="6" customHeight="1"/>
    <row r="41" ht="22" customHeight="1">
      <c r="A41" s="8" t="inlineStr">
        <is>
          <t>SECTION 2 — SCENARIO MODEL   (all cells are formulas — change Section 1 inputs to update everything)</t>
        </is>
      </c>
    </row>
    <row r="42" ht="16" customHeight="1">
      <c r="A42" s="9" t="inlineStr">
        <is>
          <t xml:space="preserve">  REVENUE</t>
        </is>
      </c>
    </row>
    <row r="43" ht="32" customHeight="1">
      <c r="A43" s="10" t="inlineStr">
        <is>
          <t>Institutional revenue</t>
        </is>
      </c>
      <c r="B43" s="11" t="inlineStr">
        <is>
          <t>PMPM rate × institutional users. Only revenue source modeled — no consumer subscriptions assumed (willingness to pay unvalidated).</t>
        </is>
      </c>
      <c r="C43" s="23">
        <f>C8*C9</f>
        <v/>
      </c>
      <c r="D43" s="24">
        <f>D8*D9</f>
        <v/>
      </c>
      <c r="E43" s="25">
        <f>E8*E9</f>
        <v/>
      </c>
    </row>
    <row r="44" ht="48" customHeight="1">
      <c r="A44" s="10" t="inlineStr">
        <is>
          <t>B2C / consumer revenue</t>
        </is>
      </c>
      <c r="B44" s="11" t="inlineStr">
        <is>
          <t>$0 in all scenarios. No consumer revenue assumed — Noor has never been asked if she would pay, and no interview established willingness to pay. Update this cell if consumer subscriptions are validated.</t>
        </is>
      </c>
      <c r="C44" s="23">
        <f>0</f>
        <v/>
      </c>
      <c r="D44" s="24">
        <f>0</f>
        <v/>
      </c>
      <c r="E44" s="25">
        <f>0</f>
        <v/>
      </c>
    </row>
    <row r="45" ht="22" customHeight="1">
      <c r="A45" s="18" t="inlineStr">
        <is>
          <t>TOTAL MONTHLY REVENUE</t>
        </is>
      </c>
      <c r="B45" s="19" t="inlineStr">
        <is>
          <t>Sum of all revenue streams. At Month 12 this is entirely institutional.</t>
        </is>
      </c>
      <c r="C45" s="26">
        <f>C43+C44</f>
        <v/>
      </c>
      <c r="D45" s="27">
        <f>D43+D44</f>
        <v/>
      </c>
      <c r="E45" s="28">
        <f>E43+E44</f>
        <v/>
      </c>
    </row>
    <row r="46" ht="6" customHeight="1"/>
    <row r="47" ht="16" customHeight="1">
      <c r="A47" s="9" t="inlineStr">
        <is>
          <t xml:space="preserve">  VARIABLE COSTS — INSTITUTIONAL USERS</t>
        </is>
      </c>
    </row>
    <row r="48" ht="32" customHeight="1">
      <c r="A48" s="10" t="inlineStr">
        <is>
          <t>Plaid — institutional users</t>
        </is>
      </c>
      <c r="B48" s="11" t="inlineStr">
        <is>
          <t>Bank aggregation for paying users. Same Plaid rate as free users — charged before any institutional check arrives.</t>
        </is>
      </c>
      <c r="C48" s="23">
        <f>C14*C9</f>
        <v/>
      </c>
      <c r="D48" s="24">
        <f>D14*D9</f>
        <v/>
      </c>
      <c r="E48" s="25">
        <f>E14*E9</f>
        <v/>
      </c>
    </row>
    <row r="49" ht="32" customHeight="1">
      <c r="A49" s="10" t="inlineStr">
        <is>
          <t>AI / LLM — institutional users</t>
        </is>
      </c>
      <c r="B49" s="11" t="inlineStr">
        <is>
          <t>LLM token cost for weekly summaries. Cheap per user — not the cost driver.</t>
        </is>
      </c>
      <c r="C49" s="23">
        <f>C15*C9</f>
        <v/>
      </c>
      <c r="D49" s="24">
        <f>D15*D9</f>
        <v/>
      </c>
      <c r="E49" s="25">
        <f>E15*E9</f>
        <v/>
      </c>
    </row>
    <row r="50" ht="32" customHeight="1">
      <c r="A50" s="10" t="inlineStr">
        <is>
          <t>Hosting — institutional users</t>
        </is>
      </c>
      <c r="B50" s="11" t="inlineStr">
        <is>
          <t>Compute and storage for paying users. Drops at scale.</t>
        </is>
      </c>
      <c r="C50" s="23">
        <f>C16*C9</f>
        <v/>
      </c>
      <c r="D50" s="24">
        <f>D16*D9</f>
        <v/>
      </c>
      <c r="E50" s="25">
        <f>E16*E9</f>
        <v/>
      </c>
    </row>
    <row r="51" ht="32" customHeight="1">
      <c r="A51" s="10" t="inlineStr">
        <is>
          <t>Email delivery — institutional users</t>
        </is>
      </c>
      <c r="B51" s="11" t="inlineStr">
        <is>
          <t>Per-email transactional cost for weekly summaries.</t>
        </is>
      </c>
      <c r="C51" s="23">
        <f>C17*C9</f>
        <v/>
      </c>
      <c r="D51" s="24">
        <f>D17*D9</f>
        <v/>
      </c>
      <c r="E51" s="25">
        <f>E17*E9</f>
        <v/>
      </c>
    </row>
    <row r="52" ht="32" customHeight="1">
      <c r="A52" s="10" t="inlineStr">
        <is>
          <t>Customer support — institutional users</t>
        </is>
      </c>
      <c r="B52" s="11" t="inlineStr">
        <is>
          <t>Founder time fielding support from paying users. Higher expectations than free tier.</t>
        </is>
      </c>
      <c r="C52" s="23">
        <f>C18*C9</f>
        <v/>
      </c>
      <c r="D52" s="24">
        <f>D18*D9</f>
        <v/>
      </c>
      <c r="E52" s="25">
        <f>E18*E9</f>
        <v/>
      </c>
    </row>
    <row r="53" ht="6" customHeight="1"/>
    <row r="54" ht="16" customHeight="1">
      <c r="A54" s="32" t="inlineStr">
        <is>
          <t xml:space="preserve">  VARIABLE COSTS — FREE USERS  (zero revenue, full cost)</t>
        </is>
      </c>
    </row>
    <row r="55" ht="40" customHeight="1">
      <c r="A55" s="10" t="inlineStr">
        <is>
          <t>Plaid — free users</t>
        </is>
      </c>
      <c r="B55" s="11" t="inlineStr">
        <is>
          <t>Same Plaid charge as institutional users. $0 revenue. This is the structural problem with the free tier: cost with no return until an institution buys.</t>
        </is>
      </c>
      <c r="C55" s="33">
        <f>C14*C11</f>
        <v/>
      </c>
      <c r="D55" s="33">
        <f>D14*D11</f>
        <v/>
      </c>
      <c r="E55" s="33">
        <f>E14*E11</f>
        <v/>
      </c>
    </row>
    <row r="56" ht="40" customHeight="1">
      <c r="A56" s="10" t="inlineStr">
        <is>
          <t>AI / LLM — free users</t>
        </is>
      </c>
      <c r="B56" s="11" t="inlineStr">
        <is>
          <t>LLM token cost for free-user summaries. Small individually.</t>
        </is>
      </c>
      <c r="C56" s="33">
        <f>C15*C11</f>
        <v/>
      </c>
      <c r="D56" s="33">
        <f>D15*D11</f>
        <v/>
      </c>
      <c r="E56" s="33">
        <f>E15*E11</f>
        <v/>
      </c>
    </row>
    <row r="57" ht="40" customHeight="1">
      <c r="A57" s="10" t="inlineStr">
        <is>
          <t>Hosting — free users</t>
        </is>
      </c>
      <c r="B57" s="11" t="inlineStr">
        <is>
          <t>Compute and storage for free users. Scales with adoption.</t>
        </is>
      </c>
      <c r="C57" s="33">
        <f>C16*C11</f>
        <v/>
      </c>
      <c r="D57" s="33">
        <f>D16*D11</f>
        <v/>
      </c>
      <c r="E57" s="33">
        <f>E16*E11</f>
        <v/>
      </c>
    </row>
    <row r="58" ht="40" customHeight="1">
      <c r="A58" s="10" t="inlineStr">
        <is>
          <t>Email delivery — free users</t>
        </is>
      </c>
      <c r="B58" s="11" t="inlineStr">
        <is>
          <t>Per-email cost for free-user weekly summaries.</t>
        </is>
      </c>
      <c r="C58" s="33">
        <f>C17*C11</f>
        <v/>
      </c>
      <c r="D58" s="33">
        <f>D17*D11</f>
        <v/>
      </c>
      <c r="E58" s="33">
        <f>E17*E11</f>
        <v/>
      </c>
    </row>
    <row r="59" ht="40" customHeight="1">
      <c r="A59" s="10" t="inlineStr">
        <is>
          <t>Customer support — free users</t>
        </is>
      </c>
      <c r="B59" s="11" t="inlineStr">
        <is>
          <t>Free users generate support tickets. Lower contact rate than institutional, but non-zero.</t>
        </is>
      </c>
      <c r="C59" s="33">
        <f>C18*C11</f>
        <v/>
      </c>
      <c r="D59" s="33">
        <f>D18*D11</f>
        <v/>
      </c>
      <c r="E59" s="33">
        <f>E18*E11</f>
        <v/>
      </c>
    </row>
    <row r="60" ht="22" customHeight="1">
      <c r="A60" s="18" t="inlineStr">
        <is>
          <t>TOTAL free-user drag (monthly)</t>
        </is>
      </c>
      <c r="B60" s="34" t="inlineStr">
        <is>
          <t>Total cost of serving free users. Every dollar here is consumed with $0 return until an institution buys. Necessary — but it burns runway.</t>
        </is>
      </c>
      <c r="C60" s="35">
        <f>C55+C56+C57+C58+C59</f>
        <v/>
      </c>
      <c r="D60" s="35">
        <f>D55+D56+D57+D58+D59</f>
        <v/>
      </c>
      <c r="E60" s="35">
        <f>E55+E56+E57+E58+E59</f>
        <v/>
      </c>
    </row>
    <row r="61" ht="6" customHeight="1"/>
    <row r="62" ht="22" customHeight="1">
      <c r="A62" s="18" t="inlineStr">
        <is>
          <t>TOTAL VARIABLE COSTS (all users)</t>
        </is>
      </c>
      <c r="B62" s="19" t="inlineStr">
        <is>
          <t>Variable costs for institutional + free users combined.</t>
        </is>
      </c>
      <c r="C62" s="26">
        <f>C48+C49+C50+C51+C52+C55+C56+C57+C58+C59</f>
        <v/>
      </c>
      <c r="D62" s="27">
        <f>D48+D49+D50+D51+D52+D55+D56+D57+D58+D59</f>
        <v/>
      </c>
      <c r="E62" s="28">
        <f>E48+E49+E50+E51+E52+E55+E56+E57+E58+E59</f>
        <v/>
      </c>
    </row>
    <row r="63" ht="6" customHeight="1"/>
    <row r="64" ht="16" customHeight="1">
      <c r="A64" s="9" t="inlineStr">
        <is>
          <t xml:space="preserve">  GROSS PROFIT</t>
        </is>
      </c>
    </row>
    <row r="65" ht="40" customHeight="1">
      <c r="A65" s="10" t="inlineStr">
        <is>
          <t>Gross profit</t>
        </is>
      </c>
      <c r="B65" s="11" t="inlineStr">
        <is>
          <t>Revenue minus variable costs only. Does NOT include fixed costs or founder time. Shows whether per-user economics work in isolation — they do. The problem is reaching enough users to cover overhead.</t>
        </is>
      </c>
      <c r="C65" s="36">
        <f>C45-C62</f>
        <v/>
      </c>
      <c r="D65" s="37">
        <f>D45-D62</f>
        <v/>
      </c>
      <c r="E65" s="38">
        <f>E45-E62</f>
        <v/>
      </c>
    </row>
    <row r="66" ht="40" customHeight="1">
      <c r="A66" s="10" t="inlineStr">
        <is>
          <t>Gross margin %</t>
        </is>
      </c>
      <c r="B66" s="11" t="inlineStr">
        <is>
          <t>Gross profit ÷ revenue. SaaS targets 70–80%+. High margin is expected — per-unit costs are low. The challenge is overhead, not margin.</t>
        </is>
      </c>
      <c r="C66" s="39">
        <f>IF(C45=0,"—",C65/C45)</f>
        <v/>
      </c>
      <c r="D66" s="40">
        <f>IF(D45=0,"—",D65/D45)</f>
        <v/>
      </c>
      <c r="E66" s="41">
        <f>IF(E45=0,"—",E65/E45)</f>
        <v/>
      </c>
    </row>
    <row r="67" ht="6" customHeight="1"/>
    <row r="68" ht="16" customHeight="1">
      <c r="A68" s="9" t="inlineStr">
        <is>
          <t xml:space="preserve">  FIXED COSTS  (referenced from Section 1)</t>
        </is>
      </c>
    </row>
    <row r="69" ht="26" customHeight="1">
      <c r="A69" s="10" t="inlineStr">
        <is>
          <t>SOC 2 Type II (amortized)</t>
        </is>
      </c>
      <c r="B69" s="11" t="inlineStr">
        <is>
          <t>Largest fixed cost. Required before any institutional buyer signs.</t>
        </is>
      </c>
      <c r="C69" s="23">
        <f>C22</f>
        <v/>
      </c>
      <c r="D69" s="24">
        <f>D22</f>
        <v/>
      </c>
      <c r="E69" s="25">
        <f>E22</f>
        <v/>
      </c>
    </row>
    <row r="70" ht="26" customHeight="1">
      <c r="A70" s="10" t="inlineStr">
        <is>
          <t>Cyber liability insurance</t>
        </is>
      </c>
      <c r="B70" s="11" t="inlineStr">
        <is>
          <t>Annual premium ÷ 12.</t>
        </is>
      </c>
      <c r="C70" s="23">
        <f>C23</f>
        <v/>
      </c>
      <c r="D70" s="24">
        <f>D23</f>
        <v/>
      </c>
      <c r="E70" s="25">
        <f>E23</f>
        <v/>
      </c>
    </row>
    <row r="71" ht="26" customHeight="1">
      <c r="A71" s="10" t="inlineStr">
        <is>
          <t>E&amp;O / professional liability</t>
        </is>
      </c>
      <c r="B71" s="11" t="inlineStr">
        <is>
          <t>Required for financial guidance products. Often omitted — added post-audit.</t>
        </is>
      </c>
      <c r="C71" s="23">
        <f>C24</f>
        <v/>
      </c>
      <c r="D71" s="24">
        <f>D24</f>
        <v/>
      </c>
      <c r="E71" s="25">
        <f>E24</f>
        <v/>
      </c>
    </row>
    <row r="72" ht="26" customHeight="1">
      <c r="A72" s="10" t="inlineStr">
        <is>
          <t>Data privacy legal</t>
        </is>
      </c>
      <c r="B72" s="11" t="inlineStr">
        <is>
          <t>Ongoing counsel for privacy, terms, data handling, contract review.</t>
        </is>
      </c>
      <c r="C72" s="23">
        <f>C25</f>
        <v/>
      </c>
      <c r="D72" s="24">
        <f>D25</f>
        <v/>
      </c>
      <c r="E72" s="25">
        <f>E25</f>
        <v/>
      </c>
    </row>
    <row r="73" ht="26" customHeight="1">
      <c r="A73" s="10" t="inlineStr">
        <is>
          <t>Infrastructure baseline</t>
        </is>
      </c>
      <c r="B73" s="11" t="inlineStr">
        <is>
          <t>Minimum hosting regardless of user count.</t>
        </is>
      </c>
      <c r="C73" s="23">
        <f>C26</f>
        <v/>
      </c>
      <c r="D73" s="24">
        <f>D26</f>
        <v/>
      </c>
      <c r="E73" s="25">
        <f>E26</f>
        <v/>
      </c>
    </row>
    <row r="74" ht="26" customHeight="1">
      <c r="A74" s="10" t="inlineStr">
        <is>
          <t>Software tools</t>
        </is>
      </c>
      <c r="B74" s="11" t="inlineStr">
        <is>
          <t>GitHub, Figma, Slack, project management.</t>
        </is>
      </c>
      <c r="C74" s="23">
        <f>C27</f>
        <v/>
      </c>
      <c r="D74" s="24">
        <f>D27</f>
        <v/>
      </c>
      <c r="E74" s="25">
        <f>E27</f>
        <v/>
      </c>
    </row>
    <row r="75" ht="26" customHeight="1">
      <c r="A75" s="10" t="inlineStr">
        <is>
          <t>Accounting / bookkeeping</t>
        </is>
      </c>
      <c r="B75" s="11" t="inlineStr">
        <is>
          <t>Required once institutional invoices exist.</t>
        </is>
      </c>
      <c r="C75" s="23">
        <f>C28</f>
        <v/>
      </c>
      <c r="D75" s="24">
        <f>D28</f>
        <v/>
      </c>
      <c r="E75" s="25">
        <f>E28</f>
        <v/>
      </c>
    </row>
    <row r="76" ht="26" customHeight="1">
      <c r="A76" s="10" t="inlineStr">
        <is>
          <t>Email service base fee</t>
        </is>
      </c>
      <c r="B76" s="11" t="inlineStr">
        <is>
          <t>Fixed platform fee before per-email charges.</t>
        </is>
      </c>
      <c r="C76" s="23">
        <f>C29</f>
        <v/>
      </c>
      <c r="D76" s="24">
        <f>D29</f>
        <v/>
      </c>
      <c r="E76" s="25">
        <f>E29</f>
        <v/>
      </c>
    </row>
    <row r="77" ht="26" customHeight="1">
      <c r="A77" s="10" t="inlineStr">
        <is>
          <t>Backup / data retention</t>
        </is>
      </c>
      <c r="B77" s="11" t="inlineStr">
        <is>
          <t>Financial data backup and retention requirement.</t>
        </is>
      </c>
      <c r="C77" s="23">
        <f>C30</f>
        <v/>
      </c>
      <c r="D77" s="24">
        <f>D30</f>
        <v/>
      </c>
      <c r="E77" s="25">
        <f>E30</f>
        <v/>
      </c>
    </row>
    <row r="78" ht="26" customHeight="1">
      <c r="A78" s="10" t="inlineStr">
        <is>
          <t>Business banking</t>
        </is>
      </c>
      <c r="B78" s="11" t="inlineStr">
        <is>
          <t>Monthly fee to receive institutional payments.</t>
        </is>
      </c>
      <c r="C78" s="23">
        <f>C31</f>
        <v/>
      </c>
      <c r="D78" s="24">
        <f>D31</f>
        <v/>
      </c>
      <c r="E78" s="25">
        <f>E31</f>
        <v/>
      </c>
    </row>
    <row r="79" ht="22" customHeight="1">
      <c r="A79" s="18" t="inlineStr">
        <is>
          <t>Total fixed costs</t>
        </is>
      </c>
      <c r="B79" s="19" t="inlineStr">
        <is>
          <t>Same as Section 1 total — referenced, not recalculated.</t>
        </is>
      </c>
      <c r="C79" s="26">
        <f>C32</f>
        <v/>
      </c>
      <c r="D79" s="27">
        <f>D32</f>
        <v/>
      </c>
      <c r="E79" s="28">
        <f>E32</f>
        <v/>
      </c>
    </row>
    <row r="80" ht="6" customHeight="1"/>
    <row r="81" ht="16" customHeight="1">
      <c r="A81" s="9" t="inlineStr">
        <is>
          <t xml:space="preserve">  FOUNDER TIME</t>
        </is>
      </c>
    </row>
    <row r="82" ht="40" customHeight="1">
      <c r="A82" s="10" t="inlineStr">
        <is>
          <t>Founder time cost per month</t>
        </is>
      </c>
      <c r="B82" s="11" t="inlineStr">
        <is>
          <t>Referenced from Section 1. At small user counts, this is the largest single cost in the model — higher than all fixed costs combined in the pessimistic scenario.</t>
        </is>
      </c>
      <c r="C82" s="26">
        <f>C37</f>
        <v/>
      </c>
      <c r="D82" s="27">
        <f>D37</f>
        <v/>
      </c>
      <c r="E82" s="28">
        <f>E37</f>
        <v/>
      </c>
    </row>
    <row r="83" ht="6" customHeight="1"/>
    <row r="84" ht="26" customHeight="1">
      <c r="A84" s="42" t="inlineStr">
        <is>
          <t>TOTAL MONTHLY COSTS</t>
        </is>
      </c>
      <c r="B84" s="43" t="inlineStr">
        <is>
          <t>Variable (institutional + free) + fixed costs + founder time. Everything.</t>
        </is>
      </c>
      <c r="C84" s="44">
        <f>C62+C79+C82</f>
        <v/>
      </c>
      <c r="D84" s="44">
        <f>D62+D79+D82</f>
        <v/>
      </c>
      <c r="E84" s="44">
        <f>E62+E79+E82</f>
        <v/>
      </c>
    </row>
    <row r="85" ht="6" customHeight="1"/>
    <row r="86" ht="22" customHeight="1">
      <c r="A86" s="45" t="inlineStr">
        <is>
          <t>BOTTOM LINE</t>
        </is>
      </c>
    </row>
    <row r="87" ht="30" customHeight="1">
      <c r="A87" s="46" t="inlineStr">
        <is>
          <t>NET MONTHLY INCOME / (LOSS)</t>
        </is>
      </c>
      <c r="B87" s="19" t="inlineStr">
        <is>
          <t>Revenue minus all costs. If the number is negative, the venture is burning cash — shown without softening.</t>
        </is>
      </c>
      <c r="C87" s="47">
        <f>C45-C84</f>
        <v/>
      </c>
      <c r="D87" s="48">
        <f>D45-D84</f>
        <v/>
      </c>
      <c r="E87" s="49">
        <f>E45-E84</f>
        <v/>
      </c>
    </row>
    <row r="88" ht="40" customHeight="1">
      <c r="A88" s="10" t="inlineStr">
        <is>
          <t>Annualized run rate (Month 12 × 12)</t>
        </is>
      </c>
      <c r="B88" s="11" t="inlineStr">
        <is>
          <t>What a full year at this monthly rate would cost or return. NOT a cumulative Year 1 total — costs were lower in early months before the full user base and contract load existed.</t>
        </is>
      </c>
      <c r="C88" s="36">
        <f>C87*12</f>
        <v/>
      </c>
      <c r="D88" s="37">
        <f>D87*12</f>
        <v/>
      </c>
      <c r="E88" s="38">
        <f>E87*12</f>
        <v/>
      </c>
    </row>
    <row r="89" ht="6" customHeight="1"/>
    <row r="90" ht="22" customHeight="1">
      <c r="A90" s="45" t="inlineStr">
        <is>
          <t>BREAK-EVEN ANALYSIS</t>
        </is>
      </c>
    </row>
    <row r="91" ht="40" customHeight="1">
      <c r="A91" s="10" t="inlineStr">
        <is>
          <t>Contribution margin per institutional user</t>
        </is>
      </c>
      <c r="B91" s="11" t="inlineStr">
        <is>
          <t>PMPM rate minus total variable cost per user. What each paying user contributes toward covering overhead after its own direct costs.</t>
        </is>
      </c>
      <c r="C91" s="12">
        <f>C8-C19</f>
        <v/>
      </c>
      <c r="D91" s="13">
        <f>D8-D19</f>
        <v/>
      </c>
      <c r="E91" s="14">
        <f>E8-E19</f>
        <v/>
      </c>
    </row>
    <row r="92" ht="32" customHeight="1">
      <c r="A92" s="10" t="inlineStr">
        <is>
          <t>Monthly overhead (fixed + founder)</t>
        </is>
      </c>
      <c r="B92" s="11" t="inlineStr">
        <is>
          <t>The floor that must be cleared. Free-user drag adds to the real monthly loss but is not included in this overhead figure.</t>
        </is>
      </c>
      <c r="C92" s="23">
        <f>C39</f>
        <v/>
      </c>
      <c r="D92" s="24">
        <f>D39</f>
        <v/>
      </c>
      <c r="E92" s="25">
        <f>E39</f>
        <v/>
      </c>
    </row>
    <row r="93" ht="40" customHeight="1">
      <c r="A93" s="18" t="inlineStr">
        <is>
          <t>Institutional users needed to break even</t>
        </is>
      </c>
      <c r="B93" s="19" t="inlineStr">
        <is>
          <t>Overhead ÷ contribution margin per user, rounded up. This is when the business stops losing money on operations — not counting free-user drag, which makes the real break-even harder.</t>
        </is>
      </c>
      <c r="C93" s="50">
        <f>IFERROR(CEILING(C92/C91,1),"—")</f>
        <v/>
      </c>
      <c r="D93" s="51">
        <f>IFERROR(CEILING(D92/D91,1),"—")</f>
        <v/>
      </c>
      <c r="E93" s="52">
        <f>IFERROR(CEILING(E92/E91,1),"—")</f>
        <v/>
      </c>
    </row>
    <row r="94" ht="40" customHeight="1">
      <c r="A94" s="10" t="inlineStr">
        <is>
          <t>Contracts needed to break even</t>
        </is>
      </c>
      <c r="B94" s="11" t="inlineStr">
        <is>
          <t>Break-even users ÷ users per contract (derived from scenario inputs). Turns a user target into an actual sales target.</t>
        </is>
      </c>
      <c r="C94" s="15">
        <f>IFERROR(CEILING(C93/(C9/C10),1),"—")</f>
        <v/>
      </c>
      <c r="D94" s="16">
        <f>IFERROR(CEILING(D93/(D9/D10),1),"—")</f>
        <v/>
      </c>
      <c r="E94" s="17">
        <f>IFERROR(CEILING(E93/(E9/E10),1),"—")</f>
        <v/>
      </c>
    </row>
    <row r="95" ht="26" customHeight="1">
      <c r="A95" s="10" t="inlineStr">
        <is>
          <t>Institutional users at Month 12 (this scenario)</t>
        </is>
      </c>
      <c r="B95" s="11" t="inlineStr">
        <is>
          <t>Referenced from Section 1 inputs.</t>
        </is>
      </c>
      <c r="C95" s="15">
        <f>C9</f>
        <v/>
      </c>
      <c r="D95" s="16">
        <f>D9</f>
        <v/>
      </c>
      <c r="E95" s="17">
        <f>E9</f>
        <v/>
      </c>
    </row>
    <row r="96" ht="30" customHeight="1">
      <c r="A96" s="18" t="inlineStr">
        <is>
          <t>Users still needed to reach break-even</t>
        </is>
      </c>
      <c r="B96" s="19" t="inlineStr">
        <is>
          <t>Break-even users minus current users. Positive = gap remaining. Zero or negative = past break-even.</t>
        </is>
      </c>
      <c r="C96" s="50">
        <f>MAX(0,C93-C95)</f>
        <v/>
      </c>
      <c r="D96" s="51">
        <f>MAX(0,D93-D95)</f>
        <v/>
      </c>
      <c r="E96" s="52">
        <f>MAX(0,E93-E95)</f>
        <v/>
      </c>
    </row>
    <row r="97" ht="6" customHeight="1"/>
    <row r="98" ht="22" customHeight="1">
      <c r="A98" s="53" t="inlineStr">
        <is>
          <t>WHAT BREAKS THIS MODEL — AND WHAT SWINGS IT MOST</t>
        </is>
      </c>
    </row>
    <row r="99" ht="70" customHeight="1">
      <c r="A99" s="54" t="inlineStr">
        <is>
          <t>Single variable with the most swing</t>
        </is>
      </c>
      <c r="B99" s="55" t="inlineStr">
        <is>
          <t>INSTITUTIONAL USER COUNT.  At $6 PMPM, each additional institutional user adds $5.11/month in contribution margin. Moving from 400 to 800 users cuts the monthly loss nearly in half. No other variable — not a price increase, not a cost cut — moves the bottom line as fast as signing one more institutional contract.</t>
        </is>
      </c>
    </row>
    <row r="100" ht="70" customHeight="1">
      <c r="A100" s="54" t="inlineStr">
        <is>
          <t>What breaks the model (primary structural failure)</t>
        </is>
      </c>
      <c r="B100" s="55" t="inlineStr">
        <is>
          <t>TIMING.  Unit economics are fine — gross margins run 70–91%. The model fails because institutional sales take 6–18 months to close while the free tier burns cash every month waiting. If Month 12 arrives with zero signed contracts (possible in the pessimistic scenario), the venture has consumed 12 months of overhead with no revenue to show for it.</t>
        </is>
      </c>
    </row>
    <row r="101" ht="70" customHeight="1">
      <c r="A101" s="54" t="inlineStr">
        <is>
          <t>Second most dangerous variable</t>
        </is>
      </c>
      <c r="B101" s="55" t="inlineStr">
        <is>
          <t>FREE USER SCALE WITHOUT INSTITUTIONAL REVENUE.  At 1,000 free users and $0 institutional contracts, the free tier alone costs ~$1,320/month in direct variable costs on top of $6,000+ overhead. Grow the free tier too fast without institutional sales and you burn runway faster than the model shows.</t>
        </is>
      </c>
    </row>
    <row r="102" ht="70" customHeight="1">
      <c r="A102" s="54" t="inlineStr">
        <is>
          <t>What most shortens the path</t>
        </is>
      </c>
      <c r="B102" s="55" t="inlineStr">
        <is>
          <t>ONE INSTITUTIONAL CONTRACT SIGNED EARLY.  A single 200-user contract at $6 PMPM generates $1,200/month revenue and ~$1,022/month contribution margin. That alone cuts the base-case monthly loss by ~17%. Two contracts cuts it by 34%. The product does not need to scale — it needs to close. The highest-value next action is one phone call to an HR benefits buyer asking what they currently pay per employee for financial wellness.</t>
        </is>
      </c>
    </row>
    <row r="104" ht="24" customHeight="1">
      <c r="A104" s="57" t="inlineStr">
        <is>
          <t>STRESS TEST — 1 CONTRACT / 200 USERS / +20% CHURN   (base case assumptions, layered with realistic worst-case sales + retention)</t>
        </is>
      </c>
    </row>
    <row r="105" ht="20" customHeight="1">
      <c r="A105" s="58" t="inlineStr">
        <is>
          <t>All inputs reference base case assumptions (Section 1, column D). Only user count, contract count, and churn rate differ from the base case. Change any Section 1 base case cell and this section recalculates.</t>
        </is>
      </c>
    </row>
    <row r="106" ht="20" customHeight="1">
      <c r="A106" s="59" t="inlineStr">
        <is>
          <t>LINE ITEM</t>
        </is>
      </c>
      <c r="B106" s="59" t="inlineStr">
        <is>
          <t>NOTES</t>
        </is>
      </c>
      <c r="C106" s="60" t="inlineStr">
        <is>
          <t>BASE CASE</t>
        </is>
      </c>
      <c r="D106" s="61" t="inlineStr">
        <is>
          <t>STRESS TEST</t>
        </is>
      </c>
      <c r="E106" s="62" t="inlineStr">
        <is>
          <t>DIFFERENCE</t>
        </is>
      </c>
    </row>
    <row r="107" ht="16" customHeight="1">
      <c r="A107" s="63" t="inlineStr">
        <is>
          <t xml:space="preserve">  STRESS TEST ASSUMPTIONS</t>
        </is>
      </c>
    </row>
    <row r="108" ht="70" customHeight="1">
      <c r="A108" s="64" t="inlineStr">
        <is>
          <t>Annual churn rate</t>
        </is>
      </c>
      <c r="B108" s="11" t="inlineStr">
        <is>
          <t>The base model assumes 0% churn (perfect retention). 20% annual churn means 1 in 5 contracted users stops using the product within the year — through job change, employer program cuts, or disengagement. Applied to institutional users only; free-user churn would reduce costs, not revenue.</t>
        </is>
      </c>
      <c r="C108" s="65" t="n">
        <v>0</v>
      </c>
      <c r="D108" s="66" t="n">
        <v>0.2</v>
      </c>
      <c r="E108" s="67" t="n">
        <v>0.2</v>
      </c>
    </row>
    <row r="109" ht="40" customHeight="1">
      <c r="A109" s="64" t="inlineStr">
        <is>
          <t>Contracted institutional users</t>
        </is>
      </c>
      <c r="B109" s="11" t="inlineStr">
        <is>
          <t>Users covered by the signed contract before churn. 1 contract × 200 users. Revenue calculation starts here.</t>
        </is>
      </c>
      <c r="C109" s="68">
        <f>D9</f>
        <v/>
      </c>
      <c r="D109" s="69" t="n">
        <v>200</v>
      </c>
      <c r="E109" s="70">
        <f>E109-D109</f>
        <v/>
      </c>
    </row>
    <row r="110" ht="48" customHeight="1">
      <c r="A110" s="71" t="inlineStr">
        <is>
          <t>Effective paying users after churn</t>
        </is>
      </c>
      <c r="B110" s="19" t="inlineStr">
        <is>
          <t>Contracted users × (1 − churn rate). These are the users actually generating revenue. Revenue, variable costs, and contribution margin all flow from this number, not the contracted count.</t>
        </is>
      </c>
      <c r="C110" s="72">
        <f>D9*(1-C108)</f>
        <v/>
      </c>
      <c r="D110" s="73">
        <f>E109*(1-D108)</f>
        <v/>
      </c>
      <c r="E110" s="74">
        <f>E110-D110</f>
        <v/>
      </c>
    </row>
    <row r="111" ht="48" customHeight="1">
      <c r="A111" s="64" t="inlineStr">
        <is>
          <t>Free users (unchanged)</t>
        </is>
      </c>
      <c r="B111" s="11" t="inlineStr">
        <is>
          <t>Free-user churn would reduce costs slightly (less Plaid spend), not revenue — so it is not stress-tested here. Left at base case to isolate the institutional impact.</t>
        </is>
      </c>
      <c r="C111" s="68">
        <f>D11</f>
        <v/>
      </c>
      <c r="D111" s="69">
        <f>D11</f>
        <v/>
      </c>
      <c r="E111" s="70" t="n">
        <v>0</v>
      </c>
    </row>
    <row r="112" ht="16" customHeight="1">
      <c r="A112" s="63" t="inlineStr">
        <is>
          <t xml:space="preserve">  REVENUE</t>
        </is>
      </c>
    </row>
    <row r="113" ht="48" customHeight="1">
      <c r="A113" s="71" t="inlineStr">
        <is>
          <t>Institutional revenue</t>
        </is>
      </c>
      <c r="B113" s="19" t="inlineStr">
        <is>
          <t>PMPM rate × effective paying users (post-churn). Churn directly reduces revenue — lost users pay nothing but fixed costs continue regardless.</t>
        </is>
      </c>
      <c r="C113" s="75">
        <f>D8*D9*(1-C108)</f>
        <v/>
      </c>
      <c r="D113" s="76">
        <f>D8*D110</f>
        <v/>
      </c>
      <c r="E113" s="77">
        <f>E113-D113</f>
        <v/>
      </c>
    </row>
    <row r="114" ht="16" customHeight="1">
      <c r="A114" s="63" t="inlineStr">
        <is>
          <t xml:space="preserve">  VARIABLE COSTS</t>
        </is>
      </c>
    </row>
    <row r="115" ht="40" customHeight="1">
      <c r="A115" s="64" t="inlineStr">
        <is>
          <t>Variable costs — institutional (effective users)</t>
        </is>
      </c>
      <c r="B115" s="11" t="inlineStr">
        <is>
          <t>Plaid and other per-user costs charged on effective paying users. Churn reduces variable costs on institutional side.</t>
        </is>
      </c>
      <c r="C115" s="78">
        <f>D19*D9*(1-C108)</f>
        <v/>
      </c>
      <c r="D115" s="79">
        <f>D19*D110</f>
        <v/>
      </c>
      <c r="E115" s="80">
        <f>E115-D115</f>
        <v/>
      </c>
    </row>
    <row r="116" ht="40" customHeight="1">
      <c r="A116" s="64" t="inlineStr">
        <is>
          <t>Variable costs — free users (unchanged)</t>
        </is>
      </c>
      <c r="B116" s="11" t="inlineStr">
        <is>
          <t>Free user costs are the same in both scenarios — 500 users × $0.89. These generate $0 revenue in both cases.</t>
        </is>
      </c>
      <c r="C116" s="78">
        <f>D19*D11</f>
        <v/>
      </c>
      <c r="D116" s="79">
        <f>D19*D11</f>
        <v/>
      </c>
      <c r="E116" s="81" t="n">
        <v>0</v>
      </c>
    </row>
    <row r="117" ht="22" customHeight="1">
      <c r="A117" s="71" t="inlineStr">
        <is>
          <t>Total variable costs</t>
        </is>
      </c>
      <c r="B117" s="19" t="inlineStr">
        <is>
          <t>Sum of institutional + free user variable costs.</t>
        </is>
      </c>
      <c r="C117" s="75">
        <f>C115+C116</f>
        <v/>
      </c>
      <c r="D117" s="76">
        <f>D115+D116</f>
        <v/>
      </c>
      <c r="E117" s="77">
        <f>E117-D117</f>
        <v/>
      </c>
    </row>
    <row r="118" ht="16" customHeight="1">
      <c r="A118" s="63" t="inlineStr">
        <is>
          <t xml:space="preserve">  FIXED COSTS + FOUNDER TIME  (unchanged — these do not respond to user count or churn)</t>
        </is>
      </c>
    </row>
    <row r="119" ht="60" customHeight="1">
      <c r="A119" s="64" t="inlineStr">
        <is>
          <t>Total fixed costs</t>
        </is>
      </c>
      <c r="B119" s="11" t="inlineStr">
        <is>
          <t>SOC 2, insurance, legal, infrastructure, tools, accounting, banking. All referenced from base case (Section 1, column D). Fixed costs are identical in both scenarios — they do not change when users churn or contracts are lost.</t>
        </is>
      </c>
      <c r="C119" s="78">
        <f>D32</f>
        <v/>
      </c>
      <c r="D119" s="79">
        <f>D32</f>
        <v/>
      </c>
      <c r="E119" s="81" t="n">
        <v>0</v>
      </c>
    </row>
    <row r="120" ht="40" customHeight="1">
      <c r="A120" s="64" t="inlineStr">
        <is>
          <t>Founder time cost</t>
        </is>
      </c>
      <c r="B120" s="11" t="inlineStr">
        <is>
          <t>40 hrs/week × 4.33 × $15/hr. Referenced from base case. Identical in both scenarios — founder time does not scale with users.</t>
        </is>
      </c>
      <c r="C120" s="78">
        <f>D37</f>
        <v/>
      </c>
      <c r="D120" s="79">
        <f>D37</f>
        <v/>
      </c>
      <c r="E120" s="81" t="n">
        <v>0</v>
      </c>
    </row>
    <row r="121" ht="26" customHeight="1">
      <c r="A121" s="82" t="inlineStr">
        <is>
          <t>TOTAL MONTHLY COSTS</t>
        </is>
      </c>
      <c r="B121" s="43" t="inlineStr">
        <is>
          <t>Variable + fixed + founder. Everything.</t>
        </is>
      </c>
      <c r="C121" s="83">
        <f>C117+C119+C120</f>
        <v/>
      </c>
      <c r="D121" s="83">
        <f>D117+D119+D120</f>
        <v/>
      </c>
      <c r="E121" s="84">
        <f>E121-D121</f>
        <v/>
      </c>
    </row>
    <row r="122" ht="30" customHeight="1">
      <c r="A122" s="85" t="inlineStr">
        <is>
          <t>NET MONTHLY INCOME / (LOSS)</t>
        </is>
      </c>
      <c r="B122" s="19" t="inlineStr">
        <is>
          <t>Revenue minus all costs. Negative = burning cash. Not softened.</t>
        </is>
      </c>
      <c r="C122" s="86">
        <f>C113-C121</f>
        <v/>
      </c>
      <c r="D122" s="87">
        <f>D113-D121</f>
        <v/>
      </c>
      <c r="E122" s="88">
        <f>E122-D122</f>
        <v/>
      </c>
    </row>
    <row r="123" ht="40" customHeight="1">
      <c r="A123" s="64" t="inlineStr">
        <is>
          <t>Annualized run rate (× 12)</t>
        </is>
      </c>
      <c r="B123" s="11" t="inlineStr">
        <is>
          <t>Monthly net × 12. What a full year at this rate costs or returns. Not cumulative Year 1 — early months had lower user counts and costs.</t>
        </is>
      </c>
      <c r="C123" s="89">
        <f>C122*12</f>
        <v/>
      </c>
      <c r="D123" s="90">
        <f>D122*12</f>
        <v/>
      </c>
      <c r="E123" s="80">
        <f>E123-D123</f>
        <v/>
      </c>
    </row>
    <row r="124" ht="16" customHeight="1">
      <c r="A124" s="91" t="inlineStr">
        <is>
          <t xml:space="preserve">  BREAK-EVEN ANALYSIS (stress test)</t>
        </is>
      </c>
    </row>
    <row r="125" ht="48" customHeight="1">
      <c r="A125" s="64" t="inlineStr">
        <is>
          <t>Contribution margin per effective institutional user</t>
        </is>
      </c>
      <c r="B125" s="11" t="inlineStr">
        <is>
          <t>PMPM rate − variable cost per user. Churn does not change this per-user figure — it reduces the number of users generating it.</t>
        </is>
      </c>
      <c r="C125" s="92">
        <f>D8-D19</f>
        <v/>
      </c>
      <c r="D125" s="93">
        <f>D8-D19</f>
        <v/>
      </c>
      <c r="E125" s="94" t="n">
        <v>0</v>
      </c>
    </row>
    <row r="126" ht="30" customHeight="1">
      <c r="A126" s="64" t="inlineStr">
        <is>
          <t>Monthly overhead (fixed + founder)</t>
        </is>
      </c>
      <c r="B126" s="11" t="inlineStr">
        <is>
          <t>Referenced from Section 1 base case. Identical in both scenarios.</t>
        </is>
      </c>
      <c r="C126" s="78">
        <f>D39</f>
        <v/>
      </c>
      <c r="D126" s="79">
        <f>D39</f>
        <v/>
      </c>
      <c r="E126" s="81" t="n">
        <v>0</v>
      </c>
    </row>
    <row r="127" ht="48" customHeight="1">
      <c r="A127" s="71" t="inlineStr">
        <is>
          <t>Effective users needed to break even</t>
        </is>
      </c>
      <c r="B127" s="19" t="inlineStr">
        <is>
          <t>Overhead ÷ contribution margin per user. This is the number of active, retention-surviving users required — not contracted users.</t>
        </is>
      </c>
      <c r="C127" s="72">
        <f>IFERROR(CEILING(C126/C125,1),"—")</f>
        <v/>
      </c>
      <c r="D127" s="73">
        <f>IFERROR(CEILING(D126/D125,1),"—")</f>
        <v/>
      </c>
      <c r="E127" s="74">
        <f>E127-D127</f>
        <v/>
      </c>
    </row>
    <row r="128" ht="55" customHeight="1">
      <c r="A128" s="71" t="inlineStr">
        <is>
          <t>Contracted users needed (before churn is applied)</t>
        </is>
      </c>
      <c r="B128" s="19" t="inlineStr">
        <is>
          <t>Break-even effective users ÷ (1 − churn rate). Because churn erodes 20% of every signed cohort, you must sign more contracted users to end up with enough effective ones. This is the gross contracts × users target.</t>
        </is>
      </c>
      <c r="C128" s="72">
        <f>IFERROR(CEILING(C127/(1-C108),1),"—")</f>
        <v/>
      </c>
      <c r="D128" s="73">
        <f>IFERROR(CEILING(D127/(1-D108),1),"—")</f>
        <v/>
      </c>
      <c r="E128" s="74">
        <f>E128-D128</f>
        <v/>
      </c>
    </row>
    <row r="129" ht="40" customHeight="1">
      <c r="A129" s="71" t="inlineStr">
        <is>
          <t>Contracts to break even (at 200 users/contract)</t>
        </is>
      </c>
      <c r="B129" s="19" t="inlineStr">
        <is>
          <t>Contracted users needed ÷ 200 users per contract. At 1 contract per quarter: number of quarters = number of contracts.</t>
        </is>
      </c>
      <c r="C129" s="72">
        <f>IFERROR(CEILING(C128/200,1),"—")</f>
        <v/>
      </c>
      <c r="D129" s="73">
        <f>IFERROR(CEILING(D128/200,1),"—")</f>
        <v/>
      </c>
      <c r="E129" s="74">
        <f>E129-D129</f>
        <v/>
      </c>
    </row>
    <row r="130" ht="40" customHeight="1">
      <c r="A130" s="71" t="inlineStr">
        <is>
          <t>Months to break-even (at 1 contract/quarter)</t>
        </is>
      </c>
      <c r="B130" s="19" t="inlineStr">
        <is>
          <t>Contracts needed × 3 months/quarter. Assumes one contract closes every quarter — optimistic given 6–18 month sales cycles.</t>
        </is>
      </c>
      <c r="C130" s="72">
        <f>IFERROR(C129*3,"—")</f>
        <v/>
      </c>
      <c r="D130" s="73">
        <f>IFERROR(D129*3,"—")</f>
        <v/>
      </c>
      <c r="E130" s="74">
        <f>E130-D130</f>
        <v/>
      </c>
    </row>
    <row r="131" ht="8" customHeight="1"/>
    <row r="132" ht="22" customHeight="1">
      <c r="A132" s="95" t="inlineStr">
        <is>
          <t>WHAT THIS SCENARIO MEANS</t>
        </is>
      </c>
    </row>
    <row r="133" ht="75" customHeight="1">
      <c r="A133" s="54" t="inlineStr">
        <is>
          <t>Monthly loss at Month 12</t>
        </is>
      </c>
      <c r="B133" s="55" t="inlineStr">
        <is>
          <t>The stress test produces a monthly loss of approximately $6,805 versus $5,779 in the base case — a $1,026/month difference. The gap is not driven by higher costs; it is entirely driven by lower revenue. Fixed costs and founder time are identical. A smaller, churning user base simply generates less revenue against an unchanged cost floor.</t>
        </is>
      </c>
    </row>
    <row r="134" ht="75" customHeight="1">
      <c r="A134" s="54" t="inlineStr">
        <is>
          <t>What churn actually does to break-even</t>
        </is>
      </c>
      <c r="B134" s="55" t="inlineStr">
        <is>
          <t>Churn does not change the contribution margin per user ($2.11). It changes how many contracted users you need to maintain enough effective users to cover overhead. At 20% churn you must sign 25% more contracted users than your effective-user target — because 1 in 5 won't be there by year-end. Break-even contracts rise from 16 to 20.</t>
        </is>
      </c>
    </row>
    <row r="135" ht="75" customHeight="1">
      <c r="A135" s="54" t="inlineStr">
        <is>
          <t>The structural problem this reveals</t>
        </is>
      </c>
      <c r="B135" s="55" t="inlineStr">
        <is>
          <t>At 20 contracts needed and 1 contract per quarter, break-even is 60 months away — five years. No early-stage venture survives 60 months of cash burn without capital. This scenario does not describe a slow ramp; it describes a model that requires either outside funding, a dramatically faster sales cycle, or a fundamentally different structure.</t>
        </is>
      </c>
    </row>
    <row r="136" ht="75" customHeight="1">
      <c r="A136" s="54" t="inlineStr">
        <is>
          <t>The one thing that changes this most</t>
        </is>
      </c>
      <c r="B136" s="55" t="inlineStr">
        <is>
          <t>Contract size, not contract count. The model assumes 200 users per contract. If one employer contract covers 500 users instead of 200, the contracts-to-break-even figure drops significantly — even at $3 PMPM with 20% churn. The highest-value question in any institutional buyer conversation is not only 'what do you pay?' but 'how many employees would be covered?'</t>
        </is>
      </c>
    </row>
  </sheetData>
  <mergeCells count="34">
    <mergeCell ref="A64:B64"/>
    <mergeCell ref="A98:E98"/>
    <mergeCell ref="A107:B107"/>
    <mergeCell ref="A1:E1"/>
    <mergeCell ref="A132:E132"/>
    <mergeCell ref="B133:E133"/>
    <mergeCell ref="A6:E6"/>
    <mergeCell ref="A124:B124"/>
    <mergeCell ref="A54:B54"/>
    <mergeCell ref="A7:B7"/>
    <mergeCell ref="B135:E135"/>
    <mergeCell ref="A41:E41"/>
    <mergeCell ref="A90:E90"/>
    <mergeCell ref="B100:E100"/>
    <mergeCell ref="B134:E134"/>
    <mergeCell ref="A118:B118"/>
    <mergeCell ref="A3:E3"/>
    <mergeCell ref="A105:E105"/>
    <mergeCell ref="A21:B21"/>
    <mergeCell ref="B102:E102"/>
    <mergeCell ref="A2:E2"/>
    <mergeCell ref="A86:E86"/>
    <mergeCell ref="A104:E104"/>
    <mergeCell ref="A47:B47"/>
    <mergeCell ref="A42:B42"/>
    <mergeCell ref="B101:E101"/>
    <mergeCell ref="B136:E136"/>
    <mergeCell ref="A81:B81"/>
    <mergeCell ref="A112:B112"/>
    <mergeCell ref="A68:B68"/>
    <mergeCell ref="A13:B13"/>
    <mergeCell ref="B99:E99"/>
    <mergeCell ref="A114:B114"/>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2026-06-25T01:59:09Z</dcterms:created>
  <dcterms:modified xmlns:dcterms="http://purl.org/dc/terms/" xmlns:xsi="http://www.w3.org/2001/XMLSchema-instance" xsi:type="dcterms:W3CDTF">2026-06-25T03:28:24Z</dcterms:modified>
</cp:coreProperties>
</file>